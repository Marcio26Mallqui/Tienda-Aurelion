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5" i="1" l="1"/>
  <c r="D274" i="1" l="1"/>
  <c r="G279" i="1" s="1"/>
  <c r="D260" i="1"/>
  <c r="G264" i="1" s="1"/>
  <c r="E239" i="1"/>
  <c r="E240" i="1"/>
  <c r="E241" i="1"/>
  <c r="E242" i="1"/>
  <c r="E243" i="1"/>
  <c r="E238" i="1"/>
  <c r="E206" i="1"/>
  <c r="E207" i="1"/>
  <c r="E208" i="1"/>
  <c r="E209" i="1"/>
  <c r="E210" i="1"/>
  <c r="E205" i="1"/>
  <c r="J138" i="1"/>
  <c r="J139" i="1"/>
  <c r="J140" i="1"/>
  <c r="J141" i="1"/>
  <c r="J142" i="1"/>
  <c r="J137" i="1"/>
  <c r="D181" i="1"/>
  <c r="G115" i="1" s="1"/>
  <c r="D106" i="1"/>
  <c r="G102" i="1" s="1"/>
  <c r="D83" i="1"/>
  <c r="G79" i="1" s="1"/>
  <c r="F51" i="1"/>
  <c r="G50" i="1" s="1"/>
  <c r="F14" i="1"/>
  <c r="J44" i="1"/>
  <c r="J45" i="1"/>
  <c r="J46" i="1"/>
  <c r="J47" i="1"/>
  <c r="J43" i="1"/>
  <c r="K43" i="1" s="1"/>
  <c r="H44" i="1"/>
  <c r="H45" i="1"/>
  <c r="H46" i="1"/>
  <c r="H47" i="1"/>
  <c r="H43" i="1"/>
  <c r="D13" i="1"/>
  <c r="C22" i="1" s="1"/>
  <c r="F7" i="1"/>
  <c r="F8" i="1"/>
  <c r="F9" i="1"/>
  <c r="F10" i="1"/>
  <c r="F6" i="1"/>
  <c r="G278" i="1" l="1"/>
  <c r="G81" i="1"/>
  <c r="G179" i="1"/>
  <c r="G171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G122" i="1"/>
  <c r="G118" i="1"/>
  <c r="G114" i="1"/>
  <c r="G177" i="1"/>
  <c r="G173" i="1"/>
  <c r="G169" i="1"/>
  <c r="G165" i="1"/>
  <c r="G161" i="1"/>
  <c r="G157" i="1"/>
  <c r="G153" i="1"/>
  <c r="G149" i="1"/>
  <c r="G145" i="1"/>
  <c r="G141" i="1"/>
  <c r="G137" i="1"/>
  <c r="G133" i="1"/>
  <c r="G129" i="1"/>
  <c r="G125" i="1"/>
  <c r="G121" i="1"/>
  <c r="G117" i="1"/>
  <c r="G113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263" i="1"/>
  <c r="G175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78" i="1"/>
  <c r="G77" i="1"/>
  <c r="G76" i="1"/>
  <c r="G99" i="1"/>
  <c r="G101" i="1"/>
  <c r="G80" i="1"/>
  <c r="G104" i="1"/>
  <c r="G100" i="1"/>
  <c r="G103" i="1"/>
  <c r="G83" i="1" l="1"/>
  <c r="I139" i="1"/>
  <c r="I137" i="1"/>
  <c r="I140" i="1"/>
  <c r="I141" i="1"/>
  <c r="I138" i="1"/>
  <c r="I142" i="1"/>
  <c r="I78" i="1"/>
  <c r="I101" i="1"/>
  <c r="G106" i="1"/>
</calcChain>
</file>

<file path=xl/sharedStrings.xml><?xml version="1.0" encoding="utf-8"?>
<sst xmlns="http://schemas.openxmlformats.org/spreadsheetml/2006/main" count="285" uniqueCount="141">
  <si>
    <t>¿Cómo ha sido la tendencia de los ingresos mensualmente?</t>
  </si>
  <si>
    <t>mes</t>
  </si>
  <si>
    <t>nombre_mes</t>
  </si>
  <si>
    <t>importe</t>
  </si>
  <si>
    <t>enero</t>
  </si>
  <si>
    <t>febrero</t>
  </si>
  <si>
    <t>marzo</t>
  </si>
  <si>
    <t>abril</t>
  </si>
  <si>
    <t>mayo</t>
  </si>
  <si>
    <t>junio</t>
  </si>
  <si>
    <t>Importe Total</t>
  </si>
  <si>
    <t>¿Cuál es el ingreso total generado?</t>
  </si>
  <si>
    <t>¿Cuál es la cantidad total vendida?</t>
  </si>
  <si>
    <t>Cantidad Total Vendida</t>
  </si>
  <si>
    <t>crecimiento_mes_a_mes (%)</t>
  </si>
  <si>
    <t>validación</t>
  </si>
  <si>
    <t>¿Cómo ha sido la tendencia de la cantidad vendida mensualmente?</t>
  </si>
  <si>
    <t>cantidad</t>
  </si>
  <si>
    <t>validación (%)</t>
  </si>
  <si>
    <t>Tasa de Crecimiento Mensual Compuesta (CMGR) del importe</t>
  </si>
  <si>
    <t>Tasa de Crecimiento Mensual Compuesta (CMGR) de la cantidad vendida</t>
  </si>
  <si>
    <t>¿Cuál es el método de pago que más se utiliza?</t>
  </si>
  <si>
    <t>medio_pago</t>
  </si>
  <si>
    <t>cantidad_de_ventas</t>
  </si>
  <si>
    <t>efectivo</t>
  </si>
  <si>
    <t>qr</t>
  </si>
  <si>
    <t>transferencia</t>
  </si>
  <si>
    <t>tarjeta</t>
  </si>
  <si>
    <t>¿En qué ciudades generan más ingresos?</t>
  </si>
  <si>
    <t>id_ciudad</t>
  </si>
  <si>
    <t>ciudad</t>
  </si>
  <si>
    <t>Rio Cuarto</t>
  </si>
  <si>
    <t>Alta Gracia</t>
  </si>
  <si>
    <t>Cordoba</t>
  </si>
  <si>
    <t>Carlos Paz</t>
  </si>
  <si>
    <t>Villa Maria</t>
  </si>
  <si>
    <t>Mendiolaza</t>
  </si>
  <si>
    <t>porcentaje_participacion (%)</t>
  </si>
  <si>
    <t>¿En qué ciudades se realizaron más compras en cantidad?</t>
  </si>
  <si>
    <t>¿Quiénes son los 20 clientes que más compran en términos de ingresos?</t>
  </si>
  <si>
    <t>id_cliente</t>
  </si>
  <si>
    <t>cliente</t>
  </si>
  <si>
    <t>Agustina Flores</t>
  </si>
  <si>
    <t>Bruno Diaz</t>
  </si>
  <si>
    <t>Diego Diaz</t>
  </si>
  <si>
    <t>Karina Castro</t>
  </si>
  <si>
    <t>Mariana Lopez</t>
  </si>
  <si>
    <t>Olivia Gomez</t>
  </si>
  <si>
    <t>Guadalupe Martinez</t>
  </si>
  <si>
    <t>Pablo Sanchez</t>
  </si>
  <si>
    <t>Camila Rodriguez</t>
  </si>
  <si>
    <t>Santiago Diaz</t>
  </si>
  <si>
    <t>Felipe Diaz</t>
  </si>
  <si>
    <t>Camila Ruiz</t>
  </si>
  <si>
    <t>Felipe Flores</t>
  </si>
  <si>
    <t>Bruno Castro</t>
  </si>
  <si>
    <t>Tomas Flores</t>
  </si>
  <si>
    <t>Uma Sanchez</t>
  </si>
  <si>
    <t>Felipe Ruiz</t>
  </si>
  <si>
    <t>Gael Gomez</t>
  </si>
  <si>
    <t>Uma Medina</t>
  </si>
  <si>
    <t>Mariana Rodriguez</t>
  </si>
  <si>
    <t>Tomas Ruiz</t>
  </si>
  <si>
    <t>Tomas Herrera</t>
  </si>
  <si>
    <t>Uma Silva</t>
  </si>
  <si>
    <t>Ivana Medina</t>
  </si>
  <si>
    <t>Yamila Molina</t>
  </si>
  <si>
    <t>Martina Perez</t>
  </si>
  <si>
    <t>Elena Rodriguez</t>
  </si>
  <si>
    <t>Julian Alvarez</t>
  </si>
  <si>
    <t>Gael Martinez</t>
  </si>
  <si>
    <t>Felipe Castro</t>
  </si>
  <si>
    <t>Gael Rojas</t>
  </si>
  <si>
    <t>Ivana Romero</t>
  </si>
  <si>
    <t>Diego Torres</t>
  </si>
  <si>
    <t>Hernan Martinez</t>
  </si>
  <si>
    <t>Camila Sanchez</t>
  </si>
  <si>
    <t>Santiago Castro</t>
  </si>
  <si>
    <t>Agustina Lopez</t>
  </si>
  <si>
    <t>Olivia Ruiz</t>
  </si>
  <si>
    <t>Rocio Gonzalez</t>
  </si>
  <si>
    <t>Felipe Alvarez</t>
  </si>
  <si>
    <t>Tomas Acosta</t>
  </si>
  <si>
    <t>Tomas Castro</t>
  </si>
  <si>
    <t>Guadalupe Ruiz</t>
  </si>
  <si>
    <t>Rocio Alvarez</t>
  </si>
  <si>
    <t>Karina Acosta</t>
  </si>
  <si>
    <t>Gael Ruiz</t>
  </si>
  <si>
    <t>Emilia Alvarez</t>
  </si>
  <si>
    <t>Nicolas Rojas</t>
  </si>
  <si>
    <t>Uma Herrera</t>
  </si>
  <si>
    <t>Ivana Torres</t>
  </si>
  <si>
    <t>Julian Acosta</t>
  </si>
  <si>
    <t>Helena Fernandez</t>
  </si>
  <si>
    <t>Guadalupe Romero</t>
  </si>
  <si>
    <t>Agustina Martinez</t>
  </si>
  <si>
    <t>Franco Gomez</t>
  </si>
  <si>
    <t>Lucas Perez</t>
  </si>
  <si>
    <t>Martina Molina</t>
  </si>
  <si>
    <t>Rocio Silva</t>
  </si>
  <si>
    <t>Ivana Sanchez</t>
  </si>
  <si>
    <t>Camila Castro</t>
  </si>
  <si>
    <t>Agustina Gomez</t>
  </si>
  <si>
    <t>Pablo Gomez</t>
  </si>
  <si>
    <t>Lucas Lopez</t>
  </si>
  <si>
    <t>Diego Fernandez</t>
  </si>
  <si>
    <t>¿Cuál es la compra media por cliente mensualmente?</t>
  </si>
  <si>
    <t>valor_promedio_por_pedido</t>
  </si>
  <si>
    <t>¿Cuál es el valor promedio por pedido mensualmente?</t>
  </si>
  <si>
    <t>cantidad_clientes</t>
  </si>
  <si>
    <t>compra_media_por_cliente</t>
  </si>
  <si>
    <t>¿Cuántos pedidos totales se han realizado?</t>
  </si>
  <si>
    <t>Total_pedidos</t>
  </si>
  <si>
    <t>¿Cuáles son las categorías más vendidas en cantidad?</t>
  </si>
  <si>
    <t>id_categoria</t>
  </si>
  <si>
    <t>categoria</t>
  </si>
  <si>
    <t>Alimentos</t>
  </si>
  <si>
    <t>Limpieza</t>
  </si>
  <si>
    <t>¿Qué categorías generan más ingresos?</t>
  </si>
  <si>
    <t>¿Cuáles son los 10 productos más vendidos en cantidad?</t>
  </si>
  <si>
    <t>id_producto</t>
  </si>
  <si>
    <t>nombre_producto</t>
  </si>
  <si>
    <t>Salsa de Tomate 500g</t>
  </si>
  <si>
    <t>Queso Rallado 150g</t>
  </si>
  <si>
    <t>Hamburguesas Congeladas x4</t>
  </si>
  <si>
    <t>Aceitunas Verdes 200g</t>
  </si>
  <si>
    <t>Vino Blanco 750ml</t>
  </si>
  <si>
    <t>Ron 700ml</t>
  </si>
  <si>
    <t>Mermelada de Frutilla 400g</t>
  </si>
  <si>
    <t>Lavandina 1L</t>
  </si>
  <si>
    <t>Pizza Congelada Muzzarella</t>
  </si>
  <si>
    <t>Yerba Mate Suave 1kg</t>
  </si>
  <si>
    <t>¿Cuáles son los 10 productos que generan más ingresos?</t>
  </si>
  <si>
    <t>Desodorante Aerosol</t>
  </si>
  <si>
    <t>Energética Nitro 500ml</t>
  </si>
  <si>
    <t>Chicle Menta</t>
  </si>
  <si>
    <t>Caramelos Masticables</t>
  </si>
  <si>
    <t>Mes</t>
  </si>
  <si>
    <t>Importe</t>
  </si>
  <si>
    <t>Month-Over-Month Growth (%)</t>
  </si>
  <si>
    <t>Compound Monthly Growth Rate (CMGR)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</si>
</sst>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569CD6"/>
      <name val="Consolas"/>
      <family val="3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0" fillId="0" borderId="2" xfId="0" applyFont="1" applyBorder="1"/>
    <xf numFmtId="0" fontId="4" fillId="0" borderId="1" xfId="0" applyFont="1" applyBorder="1" applyAlignment="1">
      <alignment horizontal="right" vertical="center" wrapText="1"/>
    </xf>
    <xf numFmtId="9" fontId="0" fillId="0" borderId="0" xfId="1" applyFont="1"/>
    <xf numFmtId="164" fontId="0" fillId="0" borderId="0" xfId="1" applyNumberFormat="1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center" wrapText="1"/>
    </xf>
    <xf numFmtId="9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165" fontId="4" fillId="0" borderId="1" xfId="0" applyNumberFormat="1" applyFont="1" applyBorder="1" applyAlignment="1">
      <alignment horizontal="right" vertical="center" wrapText="1"/>
    </xf>
    <xf numFmtId="1" fontId="0" fillId="0" borderId="0" xfId="0" applyNumberFormat="1"/>
    <xf numFmtId="1" fontId="4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0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2"/>
  <sheetViews>
    <sheetView tabSelected="1" topLeftCell="G1" workbookViewId="0">
      <selection activeCell="L3" sqref="L3"/>
    </sheetView>
  </sheetViews>
  <sheetFormatPr baseColWidth="10" defaultColWidth="9.140625" defaultRowHeight="15" x14ac:dyDescent="0.25"/>
  <cols>
    <col min="1" max="1" width="15.5703125" customWidth="1"/>
    <col min="2" max="2" width="18" customWidth="1"/>
    <col min="3" max="3" width="25.42578125" customWidth="1"/>
    <col min="5" max="5" width="25.5703125" customWidth="1"/>
    <col min="6" max="6" width="26.85546875" customWidth="1"/>
    <col min="7" max="7" width="25.85546875" customWidth="1"/>
    <col min="8" max="8" width="9.5703125" bestFit="1" customWidth="1"/>
    <col min="10" max="10" width="13.28515625" bestFit="1" customWidth="1"/>
    <col min="13" max="13" width="16.7109375" customWidth="1"/>
    <col min="14" max="14" width="10.140625" customWidth="1"/>
    <col min="15" max="15" width="31.7109375" customWidth="1"/>
  </cols>
  <sheetData>
    <row r="2" spans="1:15" x14ac:dyDescent="0.25">
      <c r="A2" s="1" t="s">
        <v>0</v>
      </c>
    </row>
    <row r="3" spans="1:15" x14ac:dyDescent="0.25">
      <c r="A3" s="1"/>
    </row>
    <row r="4" spans="1:15" ht="20.25" customHeight="1" x14ac:dyDescent="0.25">
      <c r="A4" s="7"/>
      <c r="B4" s="7" t="s">
        <v>1</v>
      </c>
      <c r="C4" s="7" t="s">
        <v>2</v>
      </c>
      <c r="D4" s="7" t="s">
        <v>3</v>
      </c>
      <c r="E4" s="7" t="s">
        <v>14</v>
      </c>
      <c r="F4" s="7" t="s">
        <v>14</v>
      </c>
      <c r="G4" s="8"/>
      <c r="H4" s="9" t="s">
        <v>15</v>
      </c>
      <c r="L4" s="24" t="s">
        <v>1</v>
      </c>
      <c r="M4" s="26" t="s">
        <v>137</v>
      </c>
      <c r="N4" s="26" t="s">
        <v>138</v>
      </c>
      <c r="O4" s="26" t="s">
        <v>139</v>
      </c>
    </row>
    <row r="5" spans="1:15" ht="16.5" x14ac:dyDescent="0.25">
      <c r="A5" s="4">
        <v>0</v>
      </c>
      <c r="B5" s="4">
        <v>1</v>
      </c>
      <c r="C5" s="4" t="s">
        <v>4</v>
      </c>
      <c r="D5" s="4">
        <v>529840</v>
      </c>
      <c r="E5" s="4"/>
      <c r="L5" s="25">
        <v>1</v>
      </c>
      <c r="M5" s="27" t="s">
        <v>4</v>
      </c>
      <c r="N5" s="27">
        <v>529840</v>
      </c>
      <c r="O5" s="27"/>
    </row>
    <row r="6" spans="1:15" ht="16.5" x14ac:dyDescent="0.25">
      <c r="A6" s="4">
        <v>1</v>
      </c>
      <c r="B6" s="4">
        <v>2</v>
      </c>
      <c r="C6" s="4" t="s">
        <v>5</v>
      </c>
      <c r="D6" s="4">
        <v>407041</v>
      </c>
      <c r="E6" s="4">
        <v>-23.2</v>
      </c>
      <c r="F6" s="6">
        <f>(D6-D5)/D5</f>
        <v>-0.23176619356786954</v>
      </c>
      <c r="L6" s="25">
        <v>2</v>
      </c>
      <c r="M6" s="27" t="s">
        <v>5</v>
      </c>
      <c r="N6" s="27">
        <v>407041</v>
      </c>
      <c r="O6" s="27">
        <v>-23.2</v>
      </c>
    </row>
    <row r="7" spans="1:15" ht="16.5" x14ac:dyDescent="0.25">
      <c r="A7" s="4">
        <v>2</v>
      </c>
      <c r="B7" s="4">
        <v>3</v>
      </c>
      <c r="C7" s="4" t="s">
        <v>6</v>
      </c>
      <c r="D7" s="4">
        <v>388263</v>
      </c>
      <c r="E7" s="4">
        <v>-4.5999999999999996</v>
      </c>
      <c r="F7" s="6">
        <f t="shared" ref="F7:F10" si="0">(D7-D6)/D6</f>
        <v>-4.6132944838480641E-2</v>
      </c>
      <c r="L7" s="25">
        <v>3</v>
      </c>
      <c r="M7" s="27" t="s">
        <v>6</v>
      </c>
      <c r="N7" s="27">
        <v>388263</v>
      </c>
      <c r="O7" s="27">
        <v>-4.5999999999999996</v>
      </c>
    </row>
    <row r="8" spans="1:15" ht="16.5" x14ac:dyDescent="0.25">
      <c r="A8" s="4">
        <v>3</v>
      </c>
      <c r="B8" s="4">
        <v>4</v>
      </c>
      <c r="C8" s="4" t="s">
        <v>7</v>
      </c>
      <c r="D8" s="4">
        <v>251524</v>
      </c>
      <c r="E8" s="4">
        <v>-35.200000000000003</v>
      </c>
      <c r="F8" s="6">
        <f t="shared" si="0"/>
        <v>-0.35218138220742123</v>
      </c>
      <c r="L8" s="25">
        <v>4</v>
      </c>
      <c r="M8" s="27" t="s">
        <v>7</v>
      </c>
      <c r="N8" s="27">
        <v>251524</v>
      </c>
      <c r="O8" s="27">
        <v>-35.200000000000003</v>
      </c>
    </row>
    <row r="9" spans="1:15" ht="16.5" x14ac:dyDescent="0.25">
      <c r="A9" s="4">
        <v>4</v>
      </c>
      <c r="B9" s="4">
        <v>5</v>
      </c>
      <c r="C9" s="4" t="s">
        <v>8</v>
      </c>
      <c r="D9" s="4">
        <v>561832</v>
      </c>
      <c r="E9" s="4">
        <v>123.4</v>
      </c>
      <c r="F9" s="6">
        <f t="shared" si="0"/>
        <v>1.2337112959399501</v>
      </c>
      <c r="L9" s="25">
        <v>5</v>
      </c>
      <c r="M9" s="27" t="s">
        <v>8</v>
      </c>
      <c r="N9" s="27">
        <v>561832</v>
      </c>
      <c r="O9" s="27">
        <v>123.4</v>
      </c>
    </row>
    <row r="10" spans="1:15" ht="16.5" x14ac:dyDescent="0.25">
      <c r="A10" s="4">
        <v>5</v>
      </c>
      <c r="B10" s="4">
        <v>6</v>
      </c>
      <c r="C10" s="4" t="s">
        <v>9</v>
      </c>
      <c r="D10" s="4">
        <v>512917</v>
      </c>
      <c r="E10" s="4">
        <v>-8.6999999999999993</v>
      </c>
      <c r="F10" s="6">
        <f t="shared" si="0"/>
        <v>-8.7063392615586155E-2</v>
      </c>
      <c r="L10" s="25">
        <v>6</v>
      </c>
      <c r="M10" s="27" t="s">
        <v>9</v>
      </c>
      <c r="N10" s="27">
        <v>512917</v>
      </c>
      <c r="O10" s="27">
        <v>-8.6999999999999993</v>
      </c>
    </row>
    <row r="11" spans="1:15" ht="16.5" x14ac:dyDescent="0.25">
      <c r="A11" s="23"/>
      <c r="B11" s="23"/>
      <c r="C11" s="23"/>
      <c r="D11" s="23"/>
      <c r="E11" s="23"/>
      <c r="F11" s="6"/>
      <c r="L11" s="23"/>
      <c r="M11" s="30"/>
      <c r="N11" s="31"/>
      <c r="O11" s="32"/>
    </row>
    <row r="12" spans="1:15" ht="25.5" customHeight="1" x14ac:dyDescent="0.25">
      <c r="M12" s="28" t="s">
        <v>140</v>
      </c>
      <c r="N12" s="28"/>
      <c r="O12" s="29">
        <v>-6.0000000000000001E-3</v>
      </c>
    </row>
    <row r="13" spans="1:15" x14ac:dyDescent="0.25">
      <c r="D13">
        <f>SUM(D5:D10)</f>
        <v>2651417</v>
      </c>
    </row>
    <row r="14" spans="1:15" x14ac:dyDescent="0.25">
      <c r="F14">
        <f>COUNT(B5:B10)</f>
        <v>6</v>
      </c>
    </row>
    <row r="15" spans="1:15" x14ac:dyDescent="0.25">
      <c r="A15" s="19" t="s">
        <v>19</v>
      </c>
      <c r="F15" s="6">
        <f>(D10/D5)^(1/(F14-1))-1</f>
        <v>-6.4711782496532644E-3</v>
      </c>
    </row>
    <row r="18" spans="1:6" x14ac:dyDescent="0.25">
      <c r="F18">
        <f>((470397/506080)^(1/5)-1)*100</f>
        <v>-1.4517143332450133</v>
      </c>
    </row>
    <row r="19" spans="1:6" x14ac:dyDescent="0.25">
      <c r="A19" s="1" t="s">
        <v>11</v>
      </c>
    </row>
    <row r="21" spans="1:6" ht="33" x14ac:dyDescent="0.25">
      <c r="A21" s="2" t="s">
        <v>10</v>
      </c>
      <c r="B21" s="3"/>
    </row>
    <row r="22" spans="1:6" ht="16.5" x14ac:dyDescent="0.25">
      <c r="A22" s="4">
        <v>0</v>
      </c>
      <c r="B22" s="4">
        <v>2651417</v>
      </c>
      <c r="C22" t="b">
        <f>IF(B22=D13,TRUE,FALSE)</f>
        <v>1</v>
      </c>
    </row>
    <row r="25" spans="1:6" x14ac:dyDescent="0.25">
      <c r="A25" s="1" t="s">
        <v>12</v>
      </c>
    </row>
    <row r="26" spans="1:6" ht="49.5" x14ac:dyDescent="0.25">
      <c r="A26" s="2" t="s">
        <v>13</v>
      </c>
      <c r="B26" s="3"/>
    </row>
    <row r="27" spans="1:6" ht="16.5" x14ac:dyDescent="0.25">
      <c r="A27" s="4">
        <v>0</v>
      </c>
      <c r="B27" s="4">
        <v>1016</v>
      </c>
    </row>
    <row r="30" spans="1:6" x14ac:dyDescent="0.25">
      <c r="A30" s="1" t="s">
        <v>16</v>
      </c>
    </row>
    <row r="32" spans="1:6" ht="33" x14ac:dyDescent="0.25">
      <c r="A32" s="10"/>
      <c r="B32" s="10" t="s">
        <v>1</v>
      </c>
      <c r="C32" s="10" t="s">
        <v>2</v>
      </c>
      <c r="D32" s="10" t="s">
        <v>17</v>
      </c>
    </row>
    <row r="33" spans="1:11" ht="16.5" x14ac:dyDescent="0.25">
      <c r="A33" s="11">
        <v>0</v>
      </c>
      <c r="B33" s="11">
        <v>1</v>
      </c>
      <c r="C33" s="11" t="s">
        <v>4</v>
      </c>
      <c r="D33" s="11">
        <v>205</v>
      </c>
    </row>
    <row r="34" spans="1:11" ht="16.5" x14ac:dyDescent="0.25">
      <c r="A34" s="11">
        <v>1</v>
      </c>
      <c r="B34" s="11">
        <v>2</v>
      </c>
      <c r="C34" s="11" t="s">
        <v>5</v>
      </c>
      <c r="D34" s="11">
        <v>173</v>
      </c>
    </row>
    <row r="35" spans="1:11" ht="16.5" x14ac:dyDescent="0.25">
      <c r="A35" s="11">
        <v>2</v>
      </c>
      <c r="B35" s="11">
        <v>3</v>
      </c>
      <c r="C35" s="11" t="s">
        <v>6</v>
      </c>
      <c r="D35" s="11">
        <v>149</v>
      </c>
    </row>
    <row r="36" spans="1:11" ht="16.5" x14ac:dyDescent="0.25">
      <c r="A36" s="11">
        <v>3</v>
      </c>
      <c r="B36" s="11">
        <v>4</v>
      </c>
      <c r="C36" s="11" t="s">
        <v>7</v>
      </c>
      <c r="D36" s="11">
        <v>100</v>
      </c>
    </row>
    <row r="37" spans="1:11" ht="16.5" x14ac:dyDescent="0.25">
      <c r="A37" s="11">
        <v>4</v>
      </c>
      <c r="B37" s="11">
        <v>5</v>
      </c>
      <c r="C37" s="11" t="s">
        <v>8</v>
      </c>
      <c r="D37" s="11">
        <v>206</v>
      </c>
    </row>
    <row r="38" spans="1:11" ht="16.5" x14ac:dyDescent="0.25">
      <c r="A38" s="11">
        <v>5</v>
      </c>
      <c r="B38" s="11">
        <v>6</v>
      </c>
      <c r="C38" s="11" t="s">
        <v>9</v>
      </c>
      <c r="D38" s="11">
        <v>183</v>
      </c>
    </row>
    <row r="41" spans="1:11" ht="33" x14ac:dyDescent="0.25">
      <c r="A41" s="2"/>
      <c r="B41" s="2" t="s">
        <v>1</v>
      </c>
      <c r="C41" s="2" t="s">
        <v>2</v>
      </c>
      <c r="D41" s="2" t="s">
        <v>17</v>
      </c>
      <c r="E41" s="2" t="s">
        <v>14</v>
      </c>
      <c r="G41" s="12"/>
      <c r="H41" s="12" t="s">
        <v>18</v>
      </c>
    </row>
    <row r="42" spans="1:11" ht="16.5" x14ac:dyDescent="0.25">
      <c r="A42" s="4">
        <v>0</v>
      </c>
      <c r="B42" s="4">
        <v>1</v>
      </c>
      <c r="C42" s="4" t="s">
        <v>4</v>
      </c>
      <c r="D42" s="4">
        <v>205</v>
      </c>
      <c r="E42" s="4"/>
    </row>
    <row r="43" spans="1:11" ht="16.5" x14ac:dyDescent="0.25">
      <c r="A43" s="4">
        <v>1</v>
      </c>
      <c r="B43" s="4">
        <v>2</v>
      </c>
      <c r="C43" s="4" t="s">
        <v>5</v>
      </c>
      <c r="D43" s="4">
        <v>173</v>
      </c>
      <c r="E43" s="16">
        <v>-15.6</v>
      </c>
      <c r="G43" s="6"/>
      <c r="H43" s="15">
        <f>((D43-D42)/D42)*100</f>
        <v>-15.609756097560975</v>
      </c>
      <c r="J43" s="15">
        <f>(D43-D42)/D42*100</f>
        <v>-15.609756097560975</v>
      </c>
      <c r="K43" t="b">
        <f>IF(E43=J43,TRUE,FALSE)</f>
        <v>0</v>
      </c>
    </row>
    <row r="44" spans="1:11" ht="16.5" x14ac:dyDescent="0.25">
      <c r="A44" s="4">
        <v>2</v>
      </c>
      <c r="B44" s="4">
        <v>3</v>
      </c>
      <c r="C44" s="4" t="s">
        <v>6</v>
      </c>
      <c r="D44" s="4">
        <v>149</v>
      </c>
      <c r="E44" s="16">
        <v>-13.9</v>
      </c>
      <c r="G44" s="6"/>
      <c r="H44" s="15">
        <f t="shared" ref="H44:H47" si="1">((D44-D43)/D43)*100</f>
        <v>-13.872832369942195</v>
      </c>
      <c r="J44" s="15">
        <f t="shared" ref="J44:J47" si="2">(D44-D43)/D43*100</f>
        <v>-13.872832369942195</v>
      </c>
    </row>
    <row r="45" spans="1:11" ht="16.5" x14ac:dyDescent="0.25">
      <c r="A45" s="4">
        <v>3</v>
      </c>
      <c r="B45" s="4">
        <v>4</v>
      </c>
      <c r="C45" s="4" t="s">
        <v>7</v>
      </c>
      <c r="D45" s="4">
        <v>100</v>
      </c>
      <c r="E45" s="16">
        <v>-32.9</v>
      </c>
      <c r="G45" s="6"/>
      <c r="H45" s="15">
        <f t="shared" si="1"/>
        <v>-32.885906040268459</v>
      </c>
      <c r="J45" s="15">
        <f t="shared" si="2"/>
        <v>-32.885906040268459</v>
      </c>
    </row>
    <row r="46" spans="1:11" ht="16.5" x14ac:dyDescent="0.25">
      <c r="A46" s="4">
        <v>4</v>
      </c>
      <c r="B46" s="4">
        <v>5</v>
      </c>
      <c r="C46" s="4" t="s">
        <v>8</v>
      </c>
      <c r="D46" s="4">
        <v>206</v>
      </c>
      <c r="E46" s="18">
        <v>106</v>
      </c>
      <c r="G46" s="13"/>
      <c r="H46" s="17">
        <f t="shared" si="1"/>
        <v>106</v>
      </c>
      <c r="J46" s="15">
        <f t="shared" si="2"/>
        <v>106</v>
      </c>
    </row>
    <row r="47" spans="1:11" ht="16.5" x14ac:dyDescent="0.25">
      <c r="A47" s="4">
        <v>5</v>
      </c>
      <c r="B47" s="4">
        <v>6</v>
      </c>
      <c r="C47" s="4" t="s">
        <v>9</v>
      </c>
      <c r="D47" s="4">
        <v>183</v>
      </c>
      <c r="E47" s="16">
        <v>-11.2</v>
      </c>
      <c r="G47" s="6"/>
      <c r="H47" s="15">
        <f t="shared" si="1"/>
        <v>-11.165048543689322</v>
      </c>
      <c r="J47" s="15">
        <f t="shared" si="2"/>
        <v>-11.165048543689322</v>
      </c>
    </row>
    <row r="50" spans="1:7" x14ac:dyDescent="0.25">
      <c r="A50" s="19" t="s">
        <v>20</v>
      </c>
      <c r="G50" s="6">
        <f>(D47/D42)^(1/(F51-1))-1</f>
        <v>-2.2448951795799088E-2</v>
      </c>
    </row>
    <row r="51" spans="1:7" x14ac:dyDescent="0.25">
      <c r="F51">
        <f>COUNT(B42:B47)</f>
        <v>6</v>
      </c>
    </row>
    <row r="54" spans="1:7" x14ac:dyDescent="0.25">
      <c r="A54" s="1" t="s">
        <v>21</v>
      </c>
    </row>
    <row r="56" spans="1:7" ht="33" x14ac:dyDescent="0.25">
      <c r="A56" s="2"/>
      <c r="B56" s="2" t="s">
        <v>22</v>
      </c>
      <c r="C56" s="2" t="s">
        <v>23</v>
      </c>
    </row>
    <row r="57" spans="1:7" ht="16.5" x14ac:dyDescent="0.25">
      <c r="A57" s="4">
        <v>0</v>
      </c>
      <c r="B57" s="4" t="s">
        <v>24</v>
      </c>
      <c r="C57" s="4">
        <v>37</v>
      </c>
    </row>
    <row r="58" spans="1:7" ht="16.5" x14ac:dyDescent="0.25">
      <c r="A58" s="4">
        <v>1</v>
      </c>
      <c r="B58" s="4" t="s">
        <v>25</v>
      </c>
      <c r="C58" s="4">
        <v>30</v>
      </c>
    </row>
    <row r="59" spans="1:7" ht="33" x14ac:dyDescent="0.25">
      <c r="A59" s="4">
        <v>2</v>
      </c>
      <c r="B59" s="4" t="s">
        <v>26</v>
      </c>
      <c r="C59" s="4">
        <v>27</v>
      </c>
    </row>
    <row r="60" spans="1:7" ht="16.5" x14ac:dyDescent="0.25">
      <c r="A60" s="4">
        <v>3</v>
      </c>
      <c r="B60" s="4" t="s">
        <v>27</v>
      </c>
      <c r="C60" s="4">
        <v>26</v>
      </c>
    </row>
    <row r="63" spans="1:7" x14ac:dyDescent="0.25">
      <c r="A63" s="1" t="s">
        <v>28</v>
      </c>
    </row>
    <row r="66" spans="1:9" ht="33" x14ac:dyDescent="0.25">
      <c r="A66" s="2"/>
      <c r="B66" s="2" t="s">
        <v>29</v>
      </c>
      <c r="C66" s="2" t="s">
        <v>30</v>
      </c>
      <c r="D66" s="2" t="s">
        <v>3</v>
      </c>
    </row>
    <row r="67" spans="1:9" ht="16.5" x14ac:dyDescent="0.25">
      <c r="A67" s="4">
        <v>0</v>
      </c>
      <c r="B67" s="4">
        <v>2</v>
      </c>
      <c r="C67" s="4" t="s">
        <v>31</v>
      </c>
      <c r="D67" s="4">
        <v>792203</v>
      </c>
    </row>
    <row r="68" spans="1:9" ht="16.5" x14ac:dyDescent="0.25">
      <c r="A68" s="4">
        <v>1</v>
      </c>
      <c r="B68" s="4">
        <v>5</v>
      </c>
      <c r="C68" s="4" t="s">
        <v>32</v>
      </c>
      <c r="D68" s="4">
        <v>481504</v>
      </c>
    </row>
    <row r="69" spans="1:9" ht="16.5" x14ac:dyDescent="0.25">
      <c r="A69" s="4">
        <v>2</v>
      </c>
      <c r="B69" s="4">
        <v>3</v>
      </c>
      <c r="C69" s="4" t="s">
        <v>33</v>
      </c>
      <c r="D69" s="4">
        <v>481482</v>
      </c>
    </row>
    <row r="70" spans="1:9" ht="16.5" x14ac:dyDescent="0.25">
      <c r="A70" s="4">
        <v>3</v>
      </c>
      <c r="B70" s="4">
        <v>1</v>
      </c>
      <c r="C70" s="4" t="s">
        <v>34</v>
      </c>
      <c r="D70" s="4">
        <v>353852</v>
      </c>
    </row>
    <row r="71" spans="1:9" ht="16.5" x14ac:dyDescent="0.25">
      <c r="A71" s="4">
        <v>4</v>
      </c>
      <c r="B71" s="4">
        <v>4</v>
      </c>
      <c r="C71" s="4" t="s">
        <v>35</v>
      </c>
      <c r="D71" s="4">
        <v>313350</v>
      </c>
    </row>
    <row r="72" spans="1:9" ht="16.5" x14ac:dyDescent="0.25">
      <c r="A72" s="4">
        <v>5</v>
      </c>
      <c r="B72" s="4">
        <v>6</v>
      </c>
      <c r="C72" s="4" t="s">
        <v>36</v>
      </c>
      <c r="D72" s="4">
        <v>229026</v>
      </c>
    </row>
    <row r="75" spans="1:9" ht="42.75" customHeight="1" x14ac:dyDescent="0.25">
      <c r="A75" s="2"/>
      <c r="B75" s="2" t="s">
        <v>29</v>
      </c>
      <c r="C75" s="2" t="s">
        <v>30</v>
      </c>
      <c r="D75" s="2" t="s">
        <v>3</v>
      </c>
      <c r="E75" s="2" t="s">
        <v>37</v>
      </c>
      <c r="G75" s="2" t="s">
        <v>37</v>
      </c>
    </row>
    <row r="76" spans="1:9" ht="16.5" x14ac:dyDescent="0.25">
      <c r="A76" s="4">
        <v>0</v>
      </c>
      <c r="B76" s="4">
        <v>2</v>
      </c>
      <c r="C76" s="4" t="s">
        <v>31</v>
      </c>
      <c r="D76" s="4">
        <v>792203</v>
      </c>
      <c r="E76" s="4">
        <v>30</v>
      </c>
      <c r="G76" s="5">
        <f>D76/$D$83</f>
        <v>0.29878476301539891</v>
      </c>
    </row>
    <row r="77" spans="1:9" ht="16.5" x14ac:dyDescent="0.25">
      <c r="A77" s="4">
        <v>1</v>
      </c>
      <c r="B77" s="4">
        <v>5</v>
      </c>
      <c r="C77" s="4" t="s">
        <v>32</v>
      </c>
      <c r="D77" s="4">
        <v>481504</v>
      </c>
      <c r="E77" s="4">
        <v>18</v>
      </c>
      <c r="G77" s="5">
        <f t="shared" ref="G77:G81" si="3">D77/$D$83</f>
        <v>0.18160251669201788</v>
      </c>
    </row>
    <row r="78" spans="1:9" ht="16.5" x14ac:dyDescent="0.25">
      <c r="A78" s="4">
        <v>2</v>
      </c>
      <c r="B78" s="4">
        <v>3</v>
      </c>
      <c r="C78" s="4" t="s">
        <v>33</v>
      </c>
      <c r="D78" s="4">
        <v>481482</v>
      </c>
      <c r="E78" s="4">
        <v>18</v>
      </c>
      <c r="G78" s="5">
        <f t="shared" si="3"/>
        <v>0.18159421924201286</v>
      </c>
      <c r="I78" s="20">
        <f>SUM(G76:G78)</f>
        <v>0.6619814989494297</v>
      </c>
    </row>
    <row r="79" spans="1:9" ht="16.5" x14ac:dyDescent="0.25">
      <c r="A79" s="4">
        <v>3</v>
      </c>
      <c r="B79" s="4">
        <v>1</v>
      </c>
      <c r="C79" s="4" t="s">
        <v>34</v>
      </c>
      <c r="D79" s="4">
        <v>353852</v>
      </c>
      <c r="E79" s="4">
        <v>13</v>
      </c>
      <c r="G79" s="5">
        <f t="shared" si="3"/>
        <v>0.13345769450825729</v>
      </c>
    </row>
    <row r="80" spans="1:9" ht="16.5" x14ac:dyDescent="0.25">
      <c r="A80" s="4">
        <v>4</v>
      </c>
      <c r="B80" s="4">
        <v>4</v>
      </c>
      <c r="C80" s="4" t="s">
        <v>35</v>
      </c>
      <c r="D80" s="4">
        <v>313350</v>
      </c>
      <c r="E80" s="4">
        <v>12</v>
      </c>
      <c r="G80" s="5">
        <f t="shared" si="3"/>
        <v>0.11818208904898776</v>
      </c>
    </row>
    <row r="81" spans="1:7" ht="16.5" x14ac:dyDescent="0.25">
      <c r="A81" s="4">
        <v>5</v>
      </c>
      <c r="B81" s="4">
        <v>6</v>
      </c>
      <c r="C81" s="4" t="s">
        <v>36</v>
      </c>
      <c r="D81" s="4">
        <v>229026</v>
      </c>
      <c r="E81" s="4">
        <v>9</v>
      </c>
      <c r="G81" s="5">
        <f t="shared" si="3"/>
        <v>8.6378717493325263E-2</v>
      </c>
    </row>
    <row r="83" spans="1:7" x14ac:dyDescent="0.25">
      <c r="D83">
        <f>SUM(D76:D81)</f>
        <v>2651417</v>
      </c>
      <c r="G83" s="20">
        <f>SUM(G76:G81)</f>
        <v>1</v>
      </c>
    </row>
    <row r="86" spans="1:7" x14ac:dyDescent="0.25">
      <c r="A86" s="1" t="s">
        <v>38</v>
      </c>
    </row>
    <row r="89" spans="1:7" ht="33" x14ac:dyDescent="0.25">
      <c r="A89" s="2"/>
      <c r="B89" s="2" t="s">
        <v>29</v>
      </c>
      <c r="C89" s="2" t="s">
        <v>30</v>
      </c>
      <c r="D89" s="2" t="s">
        <v>17</v>
      </c>
    </row>
    <row r="90" spans="1:7" ht="16.5" x14ac:dyDescent="0.25">
      <c r="A90" s="4">
        <v>0</v>
      </c>
      <c r="B90" s="4">
        <v>2</v>
      </c>
      <c r="C90" s="4" t="s">
        <v>31</v>
      </c>
      <c r="D90" s="4">
        <v>299</v>
      </c>
    </row>
    <row r="91" spans="1:7" ht="16.5" x14ac:dyDescent="0.25">
      <c r="A91" s="4">
        <v>1</v>
      </c>
      <c r="B91" s="4">
        <v>3</v>
      </c>
      <c r="C91" s="4" t="s">
        <v>33</v>
      </c>
      <c r="D91" s="4">
        <v>200</v>
      </c>
    </row>
    <row r="92" spans="1:7" ht="16.5" x14ac:dyDescent="0.25">
      <c r="A92" s="4">
        <v>2</v>
      </c>
      <c r="B92" s="4">
        <v>5</v>
      </c>
      <c r="C92" s="4" t="s">
        <v>32</v>
      </c>
      <c r="D92" s="4">
        <v>185</v>
      </c>
    </row>
    <row r="93" spans="1:7" ht="16.5" x14ac:dyDescent="0.25">
      <c r="A93" s="4">
        <v>3</v>
      </c>
      <c r="B93" s="4">
        <v>1</v>
      </c>
      <c r="C93" s="4" t="s">
        <v>34</v>
      </c>
      <c r="D93" s="4">
        <v>126</v>
      </c>
    </row>
    <row r="94" spans="1:7" ht="16.5" x14ac:dyDescent="0.25">
      <c r="A94" s="4">
        <v>4</v>
      </c>
      <c r="B94" s="4">
        <v>4</v>
      </c>
      <c r="C94" s="4" t="s">
        <v>35</v>
      </c>
      <c r="D94" s="4">
        <v>106</v>
      </c>
    </row>
    <row r="95" spans="1:7" ht="16.5" x14ac:dyDescent="0.25">
      <c r="A95" s="4">
        <v>5</v>
      </c>
      <c r="B95" s="4">
        <v>6</v>
      </c>
      <c r="C95" s="4" t="s">
        <v>36</v>
      </c>
      <c r="D95" s="4">
        <v>100</v>
      </c>
    </row>
    <row r="98" spans="1:9" ht="33" x14ac:dyDescent="0.25">
      <c r="A98" s="2"/>
      <c r="B98" s="2" t="s">
        <v>29</v>
      </c>
      <c r="C98" s="2" t="s">
        <v>30</v>
      </c>
      <c r="D98" s="2" t="s">
        <v>17</v>
      </c>
      <c r="E98" s="2" t="s">
        <v>37</v>
      </c>
      <c r="G98" s="2" t="s">
        <v>37</v>
      </c>
    </row>
    <row r="99" spans="1:9" ht="16.5" x14ac:dyDescent="0.25">
      <c r="A99" s="4">
        <v>0</v>
      </c>
      <c r="B99" s="4">
        <v>2</v>
      </c>
      <c r="C99" s="4" t="s">
        <v>31</v>
      </c>
      <c r="D99" s="4">
        <v>299</v>
      </c>
      <c r="E99" s="4">
        <v>29</v>
      </c>
      <c r="G99" s="5">
        <f>D99/$D$106</f>
        <v>0.29429133858267714</v>
      </c>
    </row>
    <row r="100" spans="1:9" ht="16.5" x14ac:dyDescent="0.25">
      <c r="A100" s="4">
        <v>1</v>
      </c>
      <c r="B100" s="4">
        <v>3</v>
      </c>
      <c r="C100" s="4" t="s">
        <v>33</v>
      </c>
      <c r="D100" s="4">
        <v>200</v>
      </c>
      <c r="E100" s="4">
        <v>20</v>
      </c>
      <c r="G100" s="5">
        <f t="shared" ref="G100:G104" si="4">D100/$D$106</f>
        <v>0.19685039370078741</v>
      </c>
    </row>
    <row r="101" spans="1:9" ht="16.5" x14ac:dyDescent="0.25">
      <c r="A101" s="4">
        <v>2</v>
      </c>
      <c r="B101" s="4">
        <v>5</v>
      </c>
      <c r="C101" s="4" t="s">
        <v>32</v>
      </c>
      <c r="D101" s="4">
        <v>185</v>
      </c>
      <c r="E101" s="4">
        <v>18</v>
      </c>
      <c r="G101" s="5">
        <f t="shared" si="4"/>
        <v>0.18208661417322836</v>
      </c>
      <c r="I101" s="20">
        <f>SUM(G99:G101)</f>
        <v>0.67322834645669294</v>
      </c>
    </row>
    <row r="102" spans="1:9" ht="16.5" x14ac:dyDescent="0.25">
      <c r="A102" s="4">
        <v>3</v>
      </c>
      <c r="B102" s="4">
        <v>1</v>
      </c>
      <c r="C102" s="4" t="s">
        <v>34</v>
      </c>
      <c r="D102" s="4">
        <v>126</v>
      </c>
      <c r="E102" s="4">
        <v>12</v>
      </c>
      <c r="G102" s="5">
        <f t="shared" si="4"/>
        <v>0.12401574803149606</v>
      </c>
    </row>
    <row r="103" spans="1:9" ht="16.5" x14ac:dyDescent="0.25">
      <c r="A103" s="4">
        <v>4</v>
      </c>
      <c r="B103" s="4">
        <v>4</v>
      </c>
      <c r="C103" s="4" t="s">
        <v>35</v>
      </c>
      <c r="D103" s="4">
        <v>106</v>
      </c>
      <c r="E103" s="4">
        <v>10</v>
      </c>
      <c r="G103" s="5">
        <f t="shared" si="4"/>
        <v>0.10433070866141732</v>
      </c>
    </row>
    <row r="104" spans="1:9" ht="16.5" x14ac:dyDescent="0.25">
      <c r="A104" s="4">
        <v>5</v>
      </c>
      <c r="B104" s="4">
        <v>6</v>
      </c>
      <c r="C104" s="4" t="s">
        <v>36</v>
      </c>
      <c r="D104" s="4">
        <v>100</v>
      </c>
      <c r="E104" s="4">
        <v>10</v>
      </c>
      <c r="G104" s="5">
        <f t="shared" si="4"/>
        <v>9.8425196850393706E-2</v>
      </c>
    </row>
    <row r="106" spans="1:9" x14ac:dyDescent="0.25">
      <c r="D106">
        <f>SUM(D99:D104)</f>
        <v>1016</v>
      </c>
      <c r="G106" s="20">
        <f>SUM(G99:G104)</f>
        <v>1</v>
      </c>
    </row>
    <row r="110" spans="1:9" x14ac:dyDescent="0.25">
      <c r="A110" s="1" t="s">
        <v>39</v>
      </c>
    </row>
    <row r="112" spans="1:9" ht="33" x14ac:dyDescent="0.25">
      <c r="A112" s="2"/>
      <c r="B112" s="2" t="s">
        <v>40</v>
      </c>
      <c r="C112" s="2" t="s">
        <v>41</v>
      </c>
      <c r="D112" s="2" t="s">
        <v>3</v>
      </c>
      <c r="E112" s="2" t="s">
        <v>37</v>
      </c>
      <c r="G112" s="2" t="s">
        <v>37</v>
      </c>
    </row>
    <row r="113" spans="1:7" ht="33" x14ac:dyDescent="0.25">
      <c r="A113" s="4">
        <v>0</v>
      </c>
      <c r="B113" s="4">
        <v>5</v>
      </c>
      <c r="C113" s="4" t="s">
        <v>42</v>
      </c>
      <c r="D113" s="4">
        <v>132158</v>
      </c>
      <c r="E113" s="16">
        <v>5</v>
      </c>
      <c r="G113" s="15">
        <f>(D113/$D$181)*100</f>
        <v>4.9844290807519149</v>
      </c>
    </row>
    <row r="114" spans="1:7" ht="16.5" x14ac:dyDescent="0.25">
      <c r="A114" s="4">
        <v>1</v>
      </c>
      <c r="B114" s="4">
        <v>56</v>
      </c>
      <c r="C114" s="4" t="s">
        <v>43</v>
      </c>
      <c r="D114" s="4">
        <v>90701</v>
      </c>
      <c r="E114" s="16">
        <v>3.4</v>
      </c>
      <c r="G114" s="15">
        <f t="shared" ref="G114:G177" si="5">(D114/$D$181)*100</f>
        <v>3.4208500586667432</v>
      </c>
    </row>
    <row r="115" spans="1:7" ht="16.5" x14ac:dyDescent="0.25">
      <c r="A115" s="4">
        <v>2</v>
      </c>
      <c r="B115" s="4">
        <v>52</v>
      </c>
      <c r="C115" s="4" t="s">
        <v>44</v>
      </c>
      <c r="D115" s="4">
        <v>90522</v>
      </c>
      <c r="E115" s="16">
        <v>3.4</v>
      </c>
      <c r="G115" s="15">
        <f t="shared" si="5"/>
        <v>3.4140989516171922</v>
      </c>
    </row>
    <row r="116" spans="1:7" ht="16.5" x14ac:dyDescent="0.25">
      <c r="A116" s="4">
        <v>3</v>
      </c>
      <c r="B116" s="4">
        <v>25</v>
      </c>
      <c r="C116" s="4" t="s">
        <v>45</v>
      </c>
      <c r="D116" s="4">
        <v>81830</v>
      </c>
      <c r="E116" s="16">
        <v>3.1</v>
      </c>
      <c r="G116" s="15">
        <f t="shared" si="5"/>
        <v>3.0862742450546254</v>
      </c>
    </row>
    <row r="117" spans="1:7" ht="16.5" x14ac:dyDescent="0.25">
      <c r="A117" s="4">
        <v>4</v>
      </c>
      <c r="B117" s="4">
        <v>1</v>
      </c>
      <c r="C117" s="4" t="s">
        <v>46</v>
      </c>
      <c r="D117" s="4">
        <v>72448</v>
      </c>
      <c r="E117" s="16">
        <v>2.7</v>
      </c>
      <c r="G117" s="15">
        <f t="shared" si="5"/>
        <v>2.7324257180217222</v>
      </c>
    </row>
    <row r="118" spans="1:7" ht="16.5" x14ac:dyDescent="0.25">
      <c r="A118" s="4">
        <v>5</v>
      </c>
      <c r="B118" s="4">
        <v>49</v>
      </c>
      <c r="C118" s="4" t="s">
        <v>47</v>
      </c>
      <c r="D118" s="4">
        <v>71321</v>
      </c>
      <c r="E118" s="16">
        <v>2.7</v>
      </c>
      <c r="G118" s="15">
        <f t="shared" si="5"/>
        <v>2.6899201445868379</v>
      </c>
    </row>
    <row r="119" spans="1:7" ht="33" x14ac:dyDescent="0.25">
      <c r="A119" s="4">
        <v>6</v>
      </c>
      <c r="B119" s="4">
        <v>61</v>
      </c>
      <c r="C119" s="4" t="s">
        <v>48</v>
      </c>
      <c r="D119" s="4">
        <v>67959</v>
      </c>
      <c r="E119" s="16">
        <v>2.6</v>
      </c>
      <c r="G119" s="15">
        <f t="shared" si="5"/>
        <v>2.563120022237166</v>
      </c>
    </row>
    <row r="120" spans="1:7" ht="16.5" x14ac:dyDescent="0.25">
      <c r="A120" s="4">
        <v>7</v>
      </c>
      <c r="B120" s="4">
        <v>84</v>
      </c>
      <c r="C120" s="4" t="s">
        <v>49</v>
      </c>
      <c r="D120" s="4">
        <v>67575</v>
      </c>
      <c r="E120" s="16">
        <v>2.5</v>
      </c>
      <c r="G120" s="15">
        <f t="shared" si="5"/>
        <v>2.5486372004101958</v>
      </c>
    </row>
    <row r="121" spans="1:7" ht="33" x14ac:dyDescent="0.25">
      <c r="A121" s="4">
        <v>8</v>
      </c>
      <c r="B121" s="4">
        <v>72</v>
      </c>
      <c r="C121" s="4" t="s">
        <v>50</v>
      </c>
      <c r="D121" s="4">
        <v>65001</v>
      </c>
      <c r="E121" s="16">
        <v>2.5</v>
      </c>
      <c r="G121" s="15">
        <f t="shared" si="5"/>
        <v>2.4515570353512857</v>
      </c>
    </row>
    <row r="122" spans="1:7" ht="16.5" x14ac:dyDescent="0.25">
      <c r="A122" s="4">
        <v>9</v>
      </c>
      <c r="B122" s="4">
        <v>39</v>
      </c>
      <c r="C122" s="4" t="s">
        <v>51</v>
      </c>
      <c r="D122" s="4">
        <v>64786</v>
      </c>
      <c r="E122" s="16">
        <v>2.4</v>
      </c>
      <c r="G122" s="15">
        <f t="shared" si="5"/>
        <v>2.4434481637554564</v>
      </c>
    </row>
    <row r="123" spans="1:7" ht="16.5" x14ac:dyDescent="0.25">
      <c r="A123" s="4">
        <v>10</v>
      </c>
      <c r="B123" s="4">
        <v>40</v>
      </c>
      <c r="C123" s="4" t="s">
        <v>52</v>
      </c>
      <c r="D123" s="4">
        <v>64716</v>
      </c>
      <c r="E123" s="16">
        <v>2.4</v>
      </c>
      <c r="G123" s="15">
        <f t="shared" si="5"/>
        <v>2.4408080660265812</v>
      </c>
    </row>
    <row r="124" spans="1:7" ht="16.5" x14ac:dyDescent="0.25">
      <c r="A124" s="4">
        <v>11</v>
      </c>
      <c r="B124" s="4">
        <v>81</v>
      </c>
      <c r="C124" s="4" t="s">
        <v>53</v>
      </c>
      <c r="D124" s="4">
        <v>64502</v>
      </c>
      <c r="E124" s="16">
        <v>2.4</v>
      </c>
      <c r="G124" s="15">
        <f t="shared" si="5"/>
        <v>2.4327369101125926</v>
      </c>
    </row>
    <row r="125" spans="1:7" ht="16.5" x14ac:dyDescent="0.25">
      <c r="A125" s="4">
        <v>12</v>
      </c>
      <c r="B125" s="4">
        <v>69</v>
      </c>
      <c r="C125" s="4" t="s">
        <v>54</v>
      </c>
      <c r="D125" s="4">
        <v>64300</v>
      </c>
      <c r="E125" s="16">
        <v>2.4</v>
      </c>
      <c r="G125" s="15">
        <f t="shared" si="5"/>
        <v>2.4251183423806966</v>
      </c>
    </row>
    <row r="126" spans="1:7" ht="16.5" x14ac:dyDescent="0.25">
      <c r="A126" s="4">
        <v>13</v>
      </c>
      <c r="B126" s="4">
        <v>8</v>
      </c>
      <c r="C126" s="4" t="s">
        <v>55</v>
      </c>
      <c r="D126" s="4">
        <v>61503</v>
      </c>
      <c r="E126" s="16">
        <v>2.2999999999999998</v>
      </c>
      <c r="G126" s="15">
        <f t="shared" si="5"/>
        <v>2.3196275802712285</v>
      </c>
    </row>
    <row r="127" spans="1:7" ht="16.5" x14ac:dyDescent="0.25">
      <c r="A127" s="4">
        <v>14</v>
      </c>
      <c r="B127" s="4">
        <v>42</v>
      </c>
      <c r="C127" s="4" t="s">
        <v>56</v>
      </c>
      <c r="D127" s="4">
        <v>60317</v>
      </c>
      <c r="E127" s="16">
        <v>2.2999999999999998</v>
      </c>
      <c r="G127" s="15">
        <f t="shared" si="5"/>
        <v>2.2748967816077217</v>
      </c>
    </row>
    <row r="128" spans="1:7" ht="16.5" x14ac:dyDescent="0.25">
      <c r="A128" s="4">
        <v>15</v>
      </c>
      <c r="B128" s="4">
        <v>91</v>
      </c>
      <c r="C128" s="4" t="s">
        <v>57</v>
      </c>
      <c r="D128" s="4">
        <v>57386</v>
      </c>
      <c r="E128" s="16">
        <v>2.2000000000000002</v>
      </c>
      <c r="G128" s="15">
        <f t="shared" si="5"/>
        <v>2.1643521181315499</v>
      </c>
    </row>
    <row r="129" spans="1:10" ht="16.5" x14ac:dyDescent="0.25">
      <c r="A129" s="4">
        <v>16</v>
      </c>
      <c r="B129" s="4">
        <v>34</v>
      </c>
      <c r="C129" s="4" t="s">
        <v>55</v>
      </c>
      <c r="D129" s="4">
        <v>57287</v>
      </c>
      <c r="E129" s="16">
        <v>2.2000000000000002</v>
      </c>
      <c r="G129" s="15">
        <f t="shared" si="5"/>
        <v>2.1606182656292843</v>
      </c>
    </row>
    <row r="130" spans="1:10" ht="16.5" x14ac:dyDescent="0.25">
      <c r="A130" s="4">
        <v>17</v>
      </c>
      <c r="B130" s="4">
        <v>31</v>
      </c>
      <c r="C130" s="4" t="s">
        <v>58</v>
      </c>
      <c r="D130" s="4">
        <v>53828</v>
      </c>
      <c r="E130" s="16">
        <v>2</v>
      </c>
      <c r="G130" s="15">
        <f t="shared" si="5"/>
        <v>2.0301597221410286</v>
      </c>
    </row>
    <row r="131" spans="1:10" ht="16.5" x14ac:dyDescent="0.25">
      <c r="A131" s="4">
        <v>18</v>
      </c>
      <c r="B131" s="4">
        <v>12</v>
      </c>
      <c r="C131" s="4" t="s">
        <v>59</v>
      </c>
      <c r="D131" s="4">
        <v>49518</v>
      </c>
      <c r="E131" s="16">
        <v>1.9</v>
      </c>
      <c r="G131" s="15">
        <f t="shared" si="5"/>
        <v>1.867605133406024</v>
      </c>
    </row>
    <row r="132" spans="1:10" ht="16.5" x14ac:dyDescent="0.25">
      <c r="A132" s="4">
        <v>19</v>
      </c>
      <c r="B132" s="4">
        <v>6</v>
      </c>
      <c r="C132" s="4" t="s">
        <v>60</v>
      </c>
      <c r="D132" s="4">
        <v>48878</v>
      </c>
      <c r="E132" s="16">
        <v>1.8</v>
      </c>
      <c r="G132" s="15">
        <f t="shared" si="5"/>
        <v>1.8434670970277405</v>
      </c>
      <c r="I132" s="15"/>
    </row>
    <row r="133" spans="1:10" ht="33" x14ac:dyDescent="0.25">
      <c r="A133" s="4">
        <v>20</v>
      </c>
      <c r="B133" s="4">
        <v>92</v>
      </c>
      <c r="C133" s="4" t="s">
        <v>61</v>
      </c>
      <c r="D133" s="4">
        <v>48867</v>
      </c>
      <c r="E133" s="16">
        <v>1.8</v>
      </c>
      <c r="G133" s="15">
        <f t="shared" si="5"/>
        <v>1.8430522245274885</v>
      </c>
    </row>
    <row r="134" spans="1:10" ht="16.5" x14ac:dyDescent="0.25">
      <c r="A134" s="4">
        <v>21</v>
      </c>
      <c r="B134" s="4">
        <v>15</v>
      </c>
      <c r="C134" s="4" t="s">
        <v>62</v>
      </c>
      <c r="D134" s="4">
        <v>45929</v>
      </c>
      <c r="E134" s="16">
        <v>1.7</v>
      </c>
      <c r="G134" s="15">
        <f t="shared" si="5"/>
        <v>1.7322435512784295</v>
      </c>
    </row>
    <row r="135" spans="1:10" ht="16.5" x14ac:dyDescent="0.25">
      <c r="A135" s="4">
        <v>22</v>
      </c>
      <c r="B135" s="4">
        <v>66</v>
      </c>
      <c r="C135" s="4" t="s">
        <v>63</v>
      </c>
      <c r="D135" s="4">
        <v>45616</v>
      </c>
      <c r="E135" s="16">
        <v>1.7</v>
      </c>
      <c r="G135" s="15">
        <f t="shared" si="5"/>
        <v>1.7204385428621751</v>
      </c>
    </row>
    <row r="136" spans="1:10" ht="16.5" x14ac:dyDescent="0.25">
      <c r="A136" s="4">
        <v>23</v>
      </c>
      <c r="B136" s="4">
        <v>19</v>
      </c>
      <c r="C136" s="4" t="s">
        <v>64</v>
      </c>
      <c r="D136" s="4">
        <v>44563</v>
      </c>
      <c r="E136" s="16">
        <v>1.7</v>
      </c>
      <c r="G136" s="15">
        <f t="shared" si="5"/>
        <v>1.6807239298835301</v>
      </c>
    </row>
    <row r="137" spans="1:10" ht="16.5" x14ac:dyDescent="0.25">
      <c r="A137" s="4">
        <v>24</v>
      </c>
      <c r="B137" s="4">
        <v>30</v>
      </c>
      <c r="C137" s="4" t="s">
        <v>65</v>
      </c>
      <c r="D137" s="4">
        <v>43475</v>
      </c>
      <c r="E137" s="16">
        <v>1.6</v>
      </c>
      <c r="G137" s="15">
        <f t="shared" si="5"/>
        <v>1.6396892680404478</v>
      </c>
      <c r="I137" s="15">
        <f>SUM($G$113:G137)</f>
        <v>60.910298153779671</v>
      </c>
      <c r="J137">
        <f>COUNT($A$113:A137)</f>
        <v>25</v>
      </c>
    </row>
    <row r="138" spans="1:10" ht="16.5" x14ac:dyDescent="0.25">
      <c r="A138" s="4">
        <v>25</v>
      </c>
      <c r="B138" s="4">
        <v>9</v>
      </c>
      <c r="C138" s="4" t="s">
        <v>66</v>
      </c>
      <c r="D138" s="4">
        <v>41840</v>
      </c>
      <c r="E138" s="16">
        <v>1.6</v>
      </c>
      <c r="G138" s="15">
        <f t="shared" si="5"/>
        <v>1.5780241282303011</v>
      </c>
      <c r="I138" s="15">
        <f>SUM($G$113:G138)</f>
        <v>62.488322282009975</v>
      </c>
      <c r="J138">
        <f>COUNT($A$113:A138)</f>
        <v>26</v>
      </c>
    </row>
    <row r="139" spans="1:10" ht="16.5" x14ac:dyDescent="0.25">
      <c r="A139" s="4">
        <v>26</v>
      </c>
      <c r="B139" s="4">
        <v>37</v>
      </c>
      <c r="C139" s="4" t="s">
        <v>67</v>
      </c>
      <c r="D139" s="4">
        <v>41537</v>
      </c>
      <c r="E139" s="16">
        <v>1.6</v>
      </c>
      <c r="G139" s="15">
        <f t="shared" si="5"/>
        <v>1.5665962766324573</v>
      </c>
      <c r="I139" s="15">
        <f>SUM($G$113:G139)</f>
        <v>64.054918558642427</v>
      </c>
      <c r="J139">
        <f>COUNT($A$113:A139)</f>
        <v>27</v>
      </c>
    </row>
    <row r="140" spans="1:10" ht="33" x14ac:dyDescent="0.25">
      <c r="A140" s="4">
        <v>27</v>
      </c>
      <c r="B140" s="4">
        <v>41</v>
      </c>
      <c r="C140" s="4" t="s">
        <v>68</v>
      </c>
      <c r="D140" s="4">
        <v>40804</v>
      </c>
      <c r="E140" s="16">
        <v>1.5</v>
      </c>
      <c r="G140" s="15">
        <f t="shared" si="5"/>
        <v>1.5389506818429541</v>
      </c>
      <c r="I140" s="15">
        <f>SUM($G$113:G140)</f>
        <v>65.593869240485375</v>
      </c>
      <c r="J140">
        <f>COUNT($A$113:A140)</f>
        <v>28</v>
      </c>
    </row>
    <row r="141" spans="1:10" ht="16.5" x14ac:dyDescent="0.25">
      <c r="A141" s="4">
        <v>28</v>
      </c>
      <c r="B141" s="4">
        <v>64</v>
      </c>
      <c r="C141" s="4" t="s">
        <v>69</v>
      </c>
      <c r="D141" s="4">
        <v>40218</v>
      </c>
      <c r="E141" s="16">
        <v>1.5</v>
      </c>
      <c r="G141" s="15">
        <f t="shared" si="5"/>
        <v>1.5168492922840882</v>
      </c>
      <c r="I141" s="15">
        <f>SUM($G$113:G141)</f>
        <v>67.110718532769468</v>
      </c>
      <c r="J141">
        <f>COUNT($A$113:A141)</f>
        <v>29</v>
      </c>
    </row>
    <row r="142" spans="1:10" ht="16.5" x14ac:dyDescent="0.25">
      <c r="A142" s="4">
        <v>29</v>
      </c>
      <c r="B142" s="4">
        <v>14</v>
      </c>
      <c r="C142" s="4" t="s">
        <v>70</v>
      </c>
      <c r="D142" s="4">
        <v>38570</v>
      </c>
      <c r="E142" s="16">
        <v>1.5</v>
      </c>
      <c r="G142" s="15">
        <f t="shared" si="5"/>
        <v>1.4546938486100074</v>
      </c>
      <c r="I142" s="15">
        <f>SUM($G$113:G142)</f>
        <v>68.565412381379474</v>
      </c>
      <c r="J142">
        <f>COUNT($A$113:A142)</f>
        <v>30</v>
      </c>
    </row>
    <row r="143" spans="1:10" ht="16.5" x14ac:dyDescent="0.25">
      <c r="A143" s="4">
        <v>30</v>
      </c>
      <c r="B143" s="4">
        <v>88</v>
      </c>
      <c r="C143" s="4" t="s">
        <v>71</v>
      </c>
      <c r="D143" s="4">
        <v>36639</v>
      </c>
      <c r="E143" s="16">
        <v>1.4</v>
      </c>
      <c r="G143" s="15">
        <f t="shared" si="5"/>
        <v>1.3818648669749043</v>
      </c>
    </row>
    <row r="144" spans="1:10" ht="16.5" x14ac:dyDescent="0.25">
      <c r="A144" s="4">
        <v>31</v>
      </c>
      <c r="B144" s="4">
        <v>93</v>
      </c>
      <c r="C144" s="4" t="s">
        <v>72</v>
      </c>
      <c r="D144" s="4">
        <v>35760</v>
      </c>
      <c r="E144" s="16">
        <v>1.3</v>
      </c>
      <c r="G144" s="15">
        <f t="shared" si="5"/>
        <v>1.3487127826366052</v>
      </c>
    </row>
    <row r="145" spans="1:7" ht="16.5" x14ac:dyDescent="0.25">
      <c r="A145" s="4">
        <v>32</v>
      </c>
      <c r="B145" s="4">
        <v>67</v>
      </c>
      <c r="C145" s="4" t="s">
        <v>73</v>
      </c>
      <c r="D145" s="4">
        <v>35240</v>
      </c>
      <c r="E145" s="16">
        <v>1.3</v>
      </c>
      <c r="G145" s="15">
        <f t="shared" si="5"/>
        <v>1.3291006280792497</v>
      </c>
    </row>
    <row r="146" spans="1:7" ht="16.5" x14ac:dyDescent="0.25">
      <c r="A146" s="4">
        <v>33</v>
      </c>
      <c r="B146" s="4">
        <v>86</v>
      </c>
      <c r="C146" s="4" t="s">
        <v>74</v>
      </c>
      <c r="D146" s="4">
        <v>34326</v>
      </c>
      <c r="E146" s="16">
        <v>1.3</v>
      </c>
      <c r="G146" s="15">
        <f t="shared" si="5"/>
        <v>1.2946284948765132</v>
      </c>
    </row>
    <row r="147" spans="1:7" ht="33" x14ac:dyDescent="0.25">
      <c r="A147" s="4">
        <v>34</v>
      </c>
      <c r="B147" s="4">
        <v>3</v>
      </c>
      <c r="C147" s="4" t="s">
        <v>75</v>
      </c>
      <c r="D147" s="4">
        <v>33310</v>
      </c>
      <c r="E147" s="16">
        <v>1.3</v>
      </c>
      <c r="G147" s="15">
        <f t="shared" si="5"/>
        <v>1.2563093621259878</v>
      </c>
    </row>
    <row r="148" spans="1:7" ht="33" x14ac:dyDescent="0.25">
      <c r="A148" s="4">
        <v>35</v>
      </c>
      <c r="B148" s="4">
        <v>26</v>
      </c>
      <c r="C148" s="4" t="s">
        <v>76</v>
      </c>
      <c r="D148" s="4">
        <v>31134</v>
      </c>
      <c r="E148" s="16">
        <v>1.2</v>
      </c>
      <c r="G148" s="15">
        <f t="shared" si="5"/>
        <v>1.1742400384398228</v>
      </c>
    </row>
    <row r="149" spans="1:7" ht="33" x14ac:dyDescent="0.25">
      <c r="A149" s="4">
        <v>36</v>
      </c>
      <c r="B149" s="4">
        <v>75</v>
      </c>
      <c r="C149" s="4" t="s">
        <v>77</v>
      </c>
      <c r="D149" s="4">
        <v>29909</v>
      </c>
      <c r="E149" s="16">
        <v>1.1000000000000001</v>
      </c>
      <c r="G149" s="15">
        <f t="shared" si="5"/>
        <v>1.1280383281845143</v>
      </c>
    </row>
    <row r="150" spans="1:7" ht="33" x14ac:dyDescent="0.25">
      <c r="A150" s="4">
        <v>37</v>
      </c>
      <c r="B150" s="4">
        <v>100</v>
      </c>
      <c r="C150" s="4" t="s">
        <v>78</v>
      </c>
      <c r="D150" s="4">
        <v>29883</v>
      </c>
      <c r="E150" s="16">
        <v>1.1000000000000001</v>
      </c>
      <c r="G150" s="15">
        <f t="shared" si="5"/>
        <v>1.1270577204566463</v>
      </c>
    </row>
    <row r="151" spans="1:7" ht="16.5" x14ac:dyDescent="0.25">
      <c r="A151" s="4">
        <v>38</v>
      </c>
      <c r="B151" s="4">
        <v>55</v>
      </c>
      <c r="C151" s="4" t="s">
        <v>79</v>
      </c>
      <c r="D151" s="4">
        <v>28782</v>
      </c>
      <c r="E151" s="16">
        <v>1.1000000000000001</v>
      </c>
      <c r="G151" s="15">
        <f t="shared" si="5"/>
        <v>1.0855327547496301</v>
      </c>
    </row>
    <row r="152" spans="1:7" ht="33" x14ac:dyDescent="0.25">
      <c r="A152" s="4">
        <v>39</v>
      </c>
      <c r="B152" s="4">
        <v>96</v>
      </c>
      <c r="C152" s="4" t="s">
        <v>80</v>
      </c>
      <c r="D152" s="4">
        <v>28175</v>
      </c>
      <c r="E152" s="16">
        <v>1.1000000000000001</v>
      </c>
      <c r="G152" s="15">
        <f t="shared" si="5"/>
        <v>1.0626393358721016</v>
      </c>
    </row>
    <row r="153" spans="1:7" ht="16.5" x14ac:dyDescent="0.25">
      <c r="A153" s="4">
        <v>40</v>
      </c>
      <c r="B153" s="4">
        <v>16</v>
      </c>
      <c r="C153" s="4" t="s">
        <v>81</v>
      </c>
      <c r="D153" s="4">
        <v>27829</v>
      </c>
      <c r="E153" s="16">
        <v>1</v>
      </c>
      <c r="G153" s="15">
        <f t="shared" si="5"/>
        <v>1.0495897099550919</v>
      </c>
    </row>
    <row r="154" spans="1:7" ht="16.5" x14ac:dyDescent="0.25">
      <c r="A154" s="4">
        <v>41</v>
      </c>
      <c r="B154" s="4">
        <v>20</v>
      </c>
      <c r="C154" s="4" t="s">
        <v>82</v>
      </c>
      <c r="D154" s="4">
        <v>27723</v>
      </c>
      <c r="E154" s="16">
        <v>1</v>
      </c>
      <c r="G154" s="15">
        <f t="shared" si="5"/>
        <v>1.0455918476799386</v>
      </c>
    </row>
    <row r="155" spans="1:7" ht="16.5" x14ac:dyDescent="0.25">
      <c r="A155" s="4">
        <v>42</v>
      </c>
      <c r="B155" s="4">
        <v>27</v>
      </c>
      <c r="C155" s="4" t="s">
        <v>83</v>
      </c>
      <c r="D155" s="4">
        <v>27059</v>
      </c>
      <c r="E155" s="16">
        <v>1</v>
      </c>
      <c r="G155" s="15">
        <f t="shared" si="5"/>
        <v>1.0205486349374693</v>
      </c>
    </row>
    <row r="156" spans="1:7" ht="33" x14ac:dyDescent="0.25">
      <c r="A156" s="4">
        <v>43</v>
      </c>
      <c r="B156" s="4">
        <v>90</v>
      </c>
      <c r="C156" s="4" t="s">
        <v>84</v>
      </c>
      <c r="D156" s="4">
        <v>26593</v>
      </c>
      <c r="E156" s="16">
        <v>1</v>
      </c>
      <c r="G156" s="15">
        <f t="shared" si="5"/>
        <v>1.0029731271995312</v>
      </c>
    </row>
    <row r="157" spans="1:7" ht="16.5" x14ac:dyDescent="0.25">
      <c r="A157" s="4">
        <v>44</v>
      </c>
      <c r="B157" s="4">
        <v>48</v>
      </c>
      <c r="C157" s="4" t="s">
        <v>85</v>
      </c>
      <c r="D157" s="4">
        <v>26403</v>
      </c>
      <c r="E157" s="16">
        <v>1</v>
      </c>
      <c r="G157" s="15">
        <f t="shared" si="5"/>
        <v>0.99580714764972855</v>
      </c>
    </row>
    <row r="158" spans="1:7" ht="16.5" x14ac:dyDescent="0.25">
      <c r="A158" s="4">
        <v>45</v>
      </c>
      <c r="B158" s="4">
        <v>10</v>
      </c>
      <c r="C158" s="4" t="s">
        <v>86</v>
      </c>
      <c r="D158" s="4">
        <v>25860</v>
      </c>
      <c r="E158" s="16">
        <v>1</v>
      </c>
      <c r="G158" s="15">
        <f t="shared" si="5"/>
        <v>0.97532753241002834</v>
      </c>
    </row>
    <row r="159" spans="1:7" ht="16.5" x14ac:dyDescent="0.25">
      <c r="A159" s="4">
        <v>46</v>
      </c>
      <c r="B159" s="4">
        <v>80</v>
      </c>
      <c r="C159" s="4" t="s">
        <v>87</v>
      </c>
      <c r="D159" s="4">
        <v>24708</v>
      </c>
      <c r="E159" s="16">
        <v>0.9</v>
      </c>
      <c r="G159" s="15">
        <f t="shared" si="5"/>
        <v>0.93187906692911748</v>
      </c>
    </row>
    <row r="160" spans="1:7" ht="16.5" x14ac:dyDescent="0.25">
      <c r="A160" s="4">
        <v>47</v>
      </c>
      <c r="B160" s="4">
        <v>78</v>
      </c>
      <c r="C160" s="4" t="s">
        <v>88</v>
      </c>
      <c r="D160" s="4">
        <v>23132</v>
      </c>
      <c r="E160" s="16">
        <v>0.9</v>
      </c>
      <c r="G160" s="15">
        <f t="shared" si="5"/>
        <v>0.87243915234759373</v>
      </c>
    </row>
    <row r="161" spans="1:7" ht="16.5" x14ac:dyDescent="0.25">
      <c r="A161" s="4">
        <v>48</v>
      </c>
      <c r="B161" s="4">
        <v>2</v>
      </c>
      <c r="C161" s="4" t="s">
        <v>89</v>
      </c>
      <c r="D161" s="4">
        <v>22150</v>
      </c>
      <c r="E161" s="16">
        <v>0.8</v>
      </c>
      <c r="G161" s="15">
        <f t="shared" si="5"/>
        <v>0.83540235277966457</v>
      </c>
    </row>
    <row r="162" spans="1:7" ht="16.5" x14ac:dyDescent="0.25">
      <c r="A162" s="4">
        <v>49</v>
      </c>
      <c r="B162" s="4">
        <v>58</v>
      </c>
      <c r="C162" s="4" t="s">
        <v>86</v>
      </c>
      <c r="D162" s="4">
        <v>21839</v>
      </c>
      <c r="E162" s="16">
        <v>0.8</v>
      </c>
      <c r="G162" s="15">
        <f t="shared" si="5"/>
        <v>0.82367277572709241</v>
      </c>
    </row>
    <row r="163" spans="1:7" ht="16.5" x14ac:dyDescent="0.25">
      <c r="A163" s="4">
        <v>50</v>
      </c>
      <c r="B163" s="4">
        <v>54</v>
      </c>
      <c r="C163" s="4" t="s">
        <v>90</v>
      </c>
      <c r="D163" s="4">
        <v>21270</v>
      </c>
      <c r="E163" s="16">
        <v>0.8</v>
      </c>
      <c r="G163" s="15">
        <f t="shared" si="5"/>
        <v>0.80221255275952452</v>
      </c>
    </row>
    <row r="164" spans="1:7" ht="16.5" x14ac:dyDescent="0.25">
      <c r="A164" s="4">
        <v>51</v>
      </c>
      <c r="B164" s="4">
        <v>18</v>
      </c>
      <c r="C164" s="4" t="s">
        <v>91</v>
      </c>
      <c r="D164" s="4">
        <v>20544</v>
      </c>
      <c r="E164" s="16">
        <v>0.8</v>
      </c>
      <c r="G164" s="15">
        <f t="shared" si="5"/>
        <v>0.77483096774290883</v>
      </c>
    </row>
    <row r="165" spans="1:7" ht="16.5" x14ac:dyDescent="0.25">
      <c r="A165" s="4">
        <v>52</v>
      </c>
      <c r="B165" s="4">
        <v>57</v>
      </c>
      <c r="C165" s="4" t="s">
        <v>92</v>
      </c>
      <c r="D165" s="4">
        <v>20436</v>
      </c>
      <c r="E165" s="16">
        <v>0.8</v>
      </c>
      <c r="G165" s="15">
        <f t="shared" si="5"/>
        <v>0.77075767410407336</v>
      </c>
    </row>
    <row r="166" spans="1:7" ht="33" x14ac:dyDescent="0.25">
      <c r="A166" s="4">
        <v>53</v>
      </c>
      <c r="B166" s="4">
        <v>21</v>
      </c>
      <c r="C166" s="4" t="s">
        <v>68</v>
      </c>
      <c r="D166" s="4">
        <v>20048</v>
      </c>
      <c r="E166" s="16">
        <v>0.8</v>
      </c>
      <c r="G166" s="15">
        <f t="shared" si="5"/>
        <v>0.75612398954973892</v>
      </c>
    </row>
    <row r="167" spans="1:7" ht="33" x14ac:dyDescent="0.25">
      <c r="A167" s="4">
        <v>54</v>
      </c>
      <c r="B167" s="4">
        <v>23</v>
      </c>
      <c r="C167" s="4" t="s">
        <v>93</v>
      </c>
      <c r="D167" s="4">
        <v>19825</v>
      </c>
      <c r="E167" s="16">
        <v>0.7</v>
      </c>
      <c r="G167" s="15">
        <f t="shared" si="5"/>
        <v>0.74771339249918067</v>
      </c>
    </row>
    <row r="168" spans="1:7" ht="33" x14ac:dyDescent="0.25">
      <c r="A168" s="4">
        <v>55</v>
      </c>
      <c r="B168" s="4">
        <v>62</v>
      </c>
      <c r="C168" s="4" t="s">
        <v>94</v>
      </c>
      <c r="D168" s="4">
        <v>19107</v>
      </c>
      <c r="E168" s="16">
        <v>0.7</v>
      </c>
      <c r="G168" s="15">
        <f t="shared" si="5"/>
        <v>0.7206335329372936</v>
      </c>
    </row>
    <row r="169" spans="1:7" ht="33" x14ac:dyDescent="0.25">
      <c r="A169" s="4">
        <v>56</v>
      </c>
      <c r="B169" s="4">
        <v>46</v>
      </c>
      <c r="C169" s="4" t="s">
        <v>95</v>
      </c>
      <c r="D169" s="4">
        <v>18292</v>
      </c>
      <c r="E169" s="16">
        <v>0.7</v>
      </c>
      <c r="G169" s="15">
        <f t="shared" si="5"/>
        <v>0.6898952522368228</v>
      </c>
    </row>
    <row r="170" spans="1:7" ht="16.5" x14ac:dyDescent="0.25">
      <c r="A170" s="4">
        <v>57</v>
      </c>
      <c r="B170" s="4">
        <v>83</v>
      </c>
      <c r="C170" s="4" t="s">
        <v>96</v>
      </c>
      <c r="D170" s="4">
        <v>16531</v>
      </c>
      <c r="E170" s="16">
        <v>0.6</v>
      </c>
      <c r="G170" s="15">
        <f t="shared" si="5"/>
        <v>0.6234779365147014</v>
      </c>
    </row>
    <row r="171" spans="1:7" ht="16.5" x14ac:dyDescent="0.25">
      <c r="A171" s="4">
        <v>58</v>
      </c>
      <c r="B171" s="4">
        <v>43</v>
      </c>
      <c r="C171" s="4" t="s">
        <v>97</v>
      </c>
      <c r="D171" s="4">
        <v>16084</v>
      </c>
      <c r="E171" s="16">
        <v>0.6</v>
      </c>
      <c r="G171" s="15">
        <f t="shared" si="5"/>
        <v>0.60661902673174384</v>
      </c>
    </row>
    <row r="172" spans="1:7" ht="33" x14ac:dyDescent="0.25">
      <c r="A172" s="4">
        <v>59</v>
      </c>
      <c r="B172" s="4">
        <v>36</v>
      </c>
      <c r="C172" s="4" t="s">
        <v>98</v>
      </c>
      <c r="D172" s="4">
        <v>15966</v>
      </c>
      <c r="E172" s="16">
        <v>0.6</v>
      </c>
      <c r="G172" s="15">
        <f t="shared" si="5"/>
        <v>0.60216857627449771</v>
      </c>
    </row>
    <row r="173" spans="1:7" ht="16.5" x14ac:dyDescent="0.25">
      <c r="A173" s="4">
        <v>60</v>
      </c>
      <c r="B173" s="4">
        <v>28</v>
      </c>
      <c r="C173" s="4" t="s">
        <v>99</v>
      </c>
      <c r="D173" s="4">
        <v>15308</v>
      </c>
      <c r="E173" s="16">
        <v>0.6</v>
      </c>
      <c r="G173" s="15">
        <f t="shared" si="5"/>
        <v>0.57735165762307472</v>
      </c>
    </row>
    <row r="174" spans="1:7" ht="16.5" x14ac:dyDescent="0.25">
      <c r="A174" s="4">
        <v>61</v>
      </c>
      <c r="B174" s="4">
        <v>13</v>
      </c>
      <c r="C174" s="4" t="s">
        <v>100</v>
      </c>
      <c r="D174" s="4">
        <v>13188</v>
      </c>
      <c r="E174" s="16">
        <v>0.5</v>
      </c>
      <c r="G174" s="15">
        <f t="shared" si="5"/>
        <v>0.49739441212000979</v>
      </c>
    </row>
    <row r="175" spans="1:7" ht="16.5" x14ac:dyDescent="0.25">
      <c r="A175" s="4">
        <v>62</v>
      </c>
      <c r="B175" s="4">
        <v>98</v>
      </c>
      <c r="C175" s="4" t="s">
        <v>101</v>
      </c>
      <c r="D175" s="4">
        <v>10864</v>
      </c>
      <c r="E175" s="16">
        <v>0.4</v>
      </c>
      <c r="G175" s="15">
        <f t="shared" si="5"/>
        <v>0.40974316752136691</v>
      </c>
    </row>
    <row r="176" spans="1:7" ht="33" x14ac:dyDescent="0.25">
      <c r="A176" s="4">
        <v>63</v>
      </c>
      <c r="B176" s="4">
        <v>51</v>
      </c>
      <c r="C176" s="4" t="s">
        <v>102</v>
      </c>
      <c r="D176" s="4">
        <v>9800</v>
      </c>
      <c r="E176" s="16">
        <v>0.4</v>
      </c>
      <c r="G176" s="15">
        <f t="shared" si="5"/>
        <v>0.36961368204247014</v>
      </c>
    </row>
    <row r="177" spans="1:7" ht="16.5" x14ac:dyDescent="0.25">
      <c r="A177" s="4">
        <v>64</v>
      </c>
      <c r="B177" s="4">
        <v>17</v>
      </c>
      <c r="C177" s="4" t="s">
        <v>103</v>
      </c>
      <c r="D177" s="4">
        <v>7752</v>
      </c>
      <c r="E177" s="16">
        <v>0.3</v>
      </c>
      <c r="G177" s="15">
        <f t="shared" si="5"/>
        <v>0.29237196563196205</v>
      </c>
    </row>
    <row r="178" spans="1:7" ht="16.5" x14ac:dyDescent="0.25">
      <c r="A178" s="4">
        <v>65</v>
      </c>
      <c r="B178" s="4">
        <v>82</v>
      </c>
      <c r="C178" s="4" t="s">
        <v>104</v>
      </c>
      <c r="D178" s="4">
        <v>7710</v>
      </c>
      <c r="E178" s="16">
        <v>0.3</v>
      </c>
      <c r="G178" s="15">
        <f t="shared" ref="G178:G179" si="6">(D178/$D$181)*100</f>
        <v>0.29078790699463719</v>
      </c>
    </row>
    <row r="179" spans="1:7" ht="33" x14ac:dyDescent="0.25">
      <c r="A179" s="4">
        <v>66</v>
      </c>
      <c r="B179" s="4">
        <v>29</v>
      </c>
      <c r="C179" s="4" t="s">
        <v>105</v>
      </c>
      <c r="D179" s="4">
        <v>4283</v>
      </c>
      <c r="E179" s="16">
        <v>0.2</v>
      </c>
      <c r="G179" s="15">
        <f t="shared" si="6"/>
        <v>0.16153626532529586</v>
      </c>
    </row>
    <row r="181" spans="1:7" x14ac:dyDescent="0.25">
      <c r="D181">
        <f>SUM(D113:D179)</f>
        <v>2651417</v>
      </c>
    </row>
    <row r="184" spans="1:7" x14ac:dyDescent="0.25">
      <c r="A184" s="1" t="s">
        <v>108</v>
      </c>
    </row>
    <row r="186" spans="1:7" ht="49.5" x14ac:dyDescent="0.25">
      <c r="A186" s="2"/>
      <c r="B186" s="2" t="s">
        <v>1</v>
      </c>
      <c r="C186" s="2" t="s">
        <v>2</v>
      </c>
      <c r="D186" s="2" t="s">
        <v>23</v>
      </c>
    </row>
    <row r="187" spans="1:7" ht="16.5" x14ac:dyDescent="0.25">
      <c r="A187" s="4">
        <v>0</v>
      </c>
      <c r="B187" s="4">
        <v>1</v>
      </c>
      <c r="C187" s="4" t="s">
        <v>4</v>
      </c>
      <c r="D187" s="4">
        <v>24</v>
      </c>
    </row>
    <row r="188" spans="1:7" ht="16.5" x14ac:dyDescent="0.25">
      <c r="A188" s="4">
        <v>1</v>
      </c>
      <c r="B188" s="4">
        <v>2</v>
      </c>
      <c r="C188" s="4" t="s">
        <v>5</v>
      </c>
      <c r="D188" s="4">
        <v>20</v>
      </c>
    </row>
    <row r="189" spans="1:7" ht="16.5" x14ac:dyDescent="0.25">
      <c r="A189" s="4">
        <v>2</v>
      </c>
      <c r="B189" s="4">
        <v>3</v>
      </c>
      <c r="C189" s="4" t="s">
        <v>6</v>
      </c>
      <c r="D189" s="4">
        <v>21</v>
      </c>
    </row>
    <row r="190" spans="1:7" ht="16.5" x14ac:dyDescent="0.25">
      <c r="A190" s="4">
        <v>3</v>
      </c>
      <c r="B190" s="4">
        <v>4</v>
      </c>
      <c r="C190" s="4" t="s">
        <v>7</v>
      </c>
      <c r="D190" s="4">
        <v>12</v>
      </c>
    </row>
    <row r="191" spans="1:7" ht="16.5" x14ac:dyDescent="0.25">
      <c r="A191" s="4">
        <v>4</v>
      </c>
      <c r="B191" s="4">
        <v>5</v>
      </c>
      <c r="C191" s="4" t="s">
        <v>8</v>
      </c>
      <c r="D191" s="4">
        <v>22</v>
      </c>
    </row>
    <row r="192" spans="1:7" ht="16.5" x14ac:dyDescent="0.25">
      <c r="A192" s="4">
        <v>5</v>
      </c>
      <c r="B192" s="4">
        <v>6</v>
      </c>
      <c r="C192" s="4" t="s">
        <v>9</v>
      </c>
      <c r="D192" s="4">
        <v>21</v>
      </c>
    </row>
    <row r="195" spans="1:5" ht="33" x14ac:dyDescent="0.25">
      <c r="A195" s="2"/>
      <c r="B195" s="2" t="s">
        <v>1</v>
      </c>
      <c r="C195" s="2" t="s">
        <v>2</v>
      </c>
      <c r="D195" s="2" t="s">
        <v>3</v>
      </c>
    </row>
    <row r="196" spans="1:5" ht="16.5" x14ac:dyDescent="0.25">
      <c r="A196" s="4">
        <v>0</v>
      </c>
      <c r="B196" s="4">
        <v>1</v>
      </c>
      <c r="C196" s="4" t="s">
        <v>4</v>
      </c>
      <c r="D196" s="4">
        <v>529840</v>
      </c>
    </row>
    <row r="197" spans="1:5" ht="16.5" x14ac:dyDescent="0.25">
      <c r="A197" s="4">
        <v>1</v>
      </c>
      <c r="B197" s="4">
        <v>2</v>
      </c>
      <c r="C197" s="4" t="s">
        <v>5</v>
      </c>
      <c r="D197" s="4">
        <v>407041</v>
      </c>
    </row>
    <row r="198" spans="1:5" ht="16.5" x14ac:dyDescent="0.25">
      <c r="A198" s="4">
        <v>2</v>
      </c>
      <c r="B198" s="4">
        <v>3</v>
      </c>
      <c r="C198" s="4" t="s">
        <v>6</v>
      </c>
      <c r="D198" s="4">
        <v>388263</v>
      </c>
    </row>
    <row r="199" spans="1:5" ht="16.5" x14ac:dyDescent="0.25">
      <c r="A199" s="4">
        <v>3</v>
      </c>
      <c r="B199" s="4">
        <v>4</v>
      </c>
      <c r="C199" s="4" t="s">
        <v>7</v>
      </c>
      <c r="D199" s="4">
        <v>251524</v>
      </c>
    </row>
    <row r="200" spans="1:5" ht="16.5" x14ac:dyDescent="0.25">
      <c r="A200" s="4">
        <v>4</v>
      </c>
      <c r="B200" s="4">
        <v>5</v>
      </c>
      <c r="C200" s="4" t="s">
        <v>8</v>
      </c>
      <c r="D200" s="4">
        <v>561832</v>
      </c>
    </row>
    <row r="201" spans="1:5" ht="16.5" x14ac:dyDescent="0.25">
      <c r="A201" s="4">
        <v>5</v>
      </c>
      <c r="B201" s="4">
        <v>6</v>
      </c>
      <c r="C201" s="4" t="s">
        <v>9</v>
      </c>
      <c r="D201" s="4">
        <v>512917</v>
      </c>
    </row>
    <row r="204" spans="1:5" ht="33" x14ac:dyDescent="0.25">
      <c r="A204" s="2"/>
      <c r="B204" s="2" t="s">
        <v>1</v>
      </c>
      <c r="C204" s="2" t="s">
        <v>107</v>
      </c>
      <c r="E204" s="2" t="s">
        <v>107</v>
      </c>
    </row>
    <row r="205" spans="1:5" ht="16.5" x14ac:dyDescent="0.25">
      <c r="A205" s="4">
        <v>0</v>
      </c>
      <c r="B205" s="4" t="s">
        <v>4</v>
      </c>
      <c r="C205" s="4">
        <v>22076.67</v>
      </c>
      <c r="E205" s="14">
        <f>D196/D187</f>
        <v>22076.666666666668</v>
      </c>
    </row>
    <row r="206" spans="1:5" ht="16.5" x14ac:dyDescent="0.25">
      <c r="A206" s="4">
        <v>1</v>
      </c>
      <c r="B206" s="4" t="s">
        <v>5</v>
      </c>
      <c r="C206" s="4">
        <v>20352.05</v>
      </c>
      <c r="E206" s="14">
        <f t="shared" ref="E206:E210" si="7">D197/D188</f>
        <v>20352.05</v>
      </c>
    </row>
    <row r="207" spans="1:5" ht="16.5" x14ac:dyDescent="0.25">
      <c r="A207" s="4">
        <v>2</v>
      </c>
      <c r="B207" s="4" t="s">
        <v>6</v>
      </c>
      <c r="C207" s="4">
        <v>18488.71</v>
      </c>
      <c r="E207" s="14">
        <f t="shared" si="7"/>
        <v>18488.714285714286</v>
      </c>
    </row>
    <row r="208" spans="1:5" ht="16.5" x14ac:dyDescent="0.25">
      <c r="A208" s="4">
        <v>3</v>
      </c>
      <c r="B208" s="4" t="s">
        <v>7</v>
      </c>
      <c r="C208" s="4">
        <v>20960.330000000002</v>
      </c>
      <c r="E208" s="14">
        <f t="shared" si="7"/>
        <v>20960.333333333332</v>
      </c>
    </row>
    <row r="209" spans="1:5" ht="16.5" x14ac:dyDescent="0.25">
      <c r="A209" s="4">
        <v>4</v>
      </c>
      <c r="B209" s="4" t="s">
        <v>8</v>
      </c>
      <c r="C209" s="4">
        <v>25537.82</v>
      </c>
      <c r="E209" s="14">
        <f t="shared" si="7"/>
        <v>25537.81818181818</v>
      </c>
    </row>
    <row r="210" spans="1:5" ht="16.5" x14ac:dyDescent="0.25">
      <c r="A210" s="4">
        <v>5</v>
      </c>
      <c r="B210" s="4" t="s">
        <v>9</v>
      </c>
      <c r="C210" s="4">
        <v>24424.62</v>
      </c>
      <c r="E210" s="14">
        <f t="shared" si="7"/>
        <v>24424.619047619046</v>
      </c>
    </row>
    <row r="214" spans="1:5" x14ac:dyDescent="0.25">
      <c r="A214" s="1" t="s">
        <v>106</v>
      </c>
    </row>
    <row r="216" spans="1:5" ht="49.5" x14ac:dyDescent="0.25">
      <c r="A216" s="2"/>
      <c r="B216" s="2" t="s">
        <v>1</v>
      </c>
      <c r="C216" s="2" t="s">
        <v>2</v>
      </c>
      <c r="D216" s="2" t="s">
        <v>109</v>
      </c>
    </row>
    <row r="217" spans="1:5" ht="16.5" x14ac:dyDescent="0.25">
      <c r="A217" s="4">
        <v>0</v>
      </c>
      <c r="B217" s="4">
        <v>1</v>
      </c>
      <c r="C217" s="4" t="s">
        <v>4</v>
      </c>
      <c r="D217" s="4">
        <v>23</v>
      </c>
    </row>
    <row r="218" spans="1:5" ht="16.5" x14ac:dyDescent="0.25">
      <c r="A218" s="4">
        <v>1</v>
      </c>
      <c r="B218" s="4">
        <v>2</v>
      </c>
      <c r="C218" s="4" t="s">
        <v>5</v>
      </c>
      <c r="D218" s="4">
        <v>17</v>
      </c>
    </row>
    <row r="219" spans="1:5" ht="16.5" x14ac:dyDescent="0.25">
      <c r="A219" s="4">
        <v>2</v>
      </c>
      <c r="B219" s="4">
        <v>3</v>
      </c>
      <c r="C219" s="4" t="s">
        <v>6</v>
      </c>
      <c r="D219" s="4">
        <v>19</v>
      </c>
    </row>
    <row r="220" spans="1:5" ht="16.5" x14ac:dyDescent="0.25">
      <c r="A220" s="4">
        <v>3</v>
      </c>
      <c r="B220" s="4">
        <v>4</v>
      </c>
      <c r="C220" s="4" t="s">
        <v>7</v>
      </c>
      <c r="D220" s="4">
        <v>11</v>
      </c>
    </row>
    <row r="221" spans="1:5" ht="16.5" x14ac:dyDescent="0.25">
      <c r="A221" s="4">
        <v>4</v>
      </c>
      <c r="B221" s="4">
        <v>5</v>
      </c>
      <c r="C221" s="4" t="s">
        <v>8</v>
      </c>
      <c r="D221" s="4">
        <v>17</v>
      </c>
    </row>
    <row r="222" spans="1:5" ht="16.5" x14ac:dyDescent="0.25">
      <c r="A222" s="4">
        <v>5</v>
      </c>
      <c r="B222" s="4">
        <v>6</v>
      </c>
      <c r="C222" s="4" t="s">
        <v>9</v>
      </c>
      <c r="D222" s="4">
        <v>18</v>
      </c>
    </row>
    <row r="225" spans="1:5" ht="33" x14ac:dyDescent="0.25">
      <c r="A225" s="2"/>
      <c r="B225" s="2" t="s">
        <v>1</v>
      </c>
      <c r="C225" s="2" t="s">
        <v>2</v>
      </c>
      <c r="D225" s="2" t="s">
        <v>3</v>
      </c>
    </row>
    <row r="226" spans="1:5" ht="16.5" x14ac:dyDescent="0.25">
      <c r="A226" s="4">
        <v>0</v>
      </c>
      <c r="B226" s="4">
        <v>1</v>
      </c>
      <c r="C226" s="4" t="s">
        <v>4</v>
      </c>
      <c r="D226" s="4">
        <v>529840</v>
      </c>
    </row>
    <row r="227" spans="1:5" ht="16.5" x14ac:dyDescent="0.25">
      <c r="A227" s="4">
        <v>1</v>
      </c>
      <c r="B227" s="4">
        <v>2</v>
      </c>
      <c r="C227" s="4" t="s">
        <v>5</v>
      </c>
      <c r="D227" s="4">
        <v>407041</v>
      </c>
    </row>
    <row r="228" spans="1:5" ht="16.5" x14ac:dyDescent="0.25">
      <c r="A228" s="4">
        <v>2</v>
      </c>
      <c r="B228" s="4">
        <v>3</v>
      </c>
      <c r="C228" s="4" t="s">
        <v>6</v>
      </c>
      <c r="D228" s="4">
        <v>388263</v>
      </c>
    </row>
    <row r="229" spans="1:5" ht="16.5" x14ac:dyDescent="0.25">
      <c r="A229" s="4">
        <v>3</v>
      </c>
      <c r="B229" s="4">
        <v>4</v>
      </c>
      <c r="C229" s="4" t="s">
        <v>7</v>
      </c>
      <c r="D229" s="4">
        <v>251524</v>
      </c>
    </row>
    <row r="230" spans="1:5" ht="16.5" x14ac:dyDescent="0.25">
      <c r="A230" s="4">
        <v>4</v>
      </c>
      <c r="B230" s="4">
        <v>5</v>
      </c>
      <c r="C230" s="4" t="s">
        <v>8</v>
      </c>
      <c r="D230" s="4">
        <v>561832</v>
      </c>
    </row>
    <row r="231" spans="1:5" ht="16.5" x14ac:dyDescent="0.25">
      <c r="A231" s="4">
        <v>5</v>
      </c>
      <c r="B231" s="4">
        <v>6</v>
      </c>
      <c r="C231" s="4" t="s">
        <v>9</v>
      </c>
      <c r="D231" s="4">
        <v>512917</v>
      </c>
    </row>
    <row r="237" spans="1:5" ht="33" x14ac:dyDescent="0.25">
      <c r="A237" s="2"/>
      <c r="B237" s="2" t="s">
        <v>1</v>
      </c>
      <c r="C237" s="2" t="s">
        <v>110</v>
      </c>
      <c r="E237" s="2" t="s">
        <v>110</v>
      </c>
    </row>
    <row r="238" spans="1:5" ht="16.5" x14ac:dyDescent="0.25">
      <c r="A238" s="4">
        <v>0</v>
      </c>
      <c r="B238" s="4" t="s">
        <v>4</v>
      </c>
      <c r="C238" s="4">
        <v>23036.52</v>
      </c>
      <c r="E238" s="14">
        <f>D226/D217</f>
        <v>23036.521739130436</v>
      </c>
    </row>
    <row r="239" spans="1:5" ht="16.5" x14ac:dyDescent="0.25">
      <c r="A239" s="4">
        <v>1</v>
      </c>
      <c r="B239" s="4" t="s">
        <v>5</v>
      </c>
      <c r="C239" s="4">
        <v>23943.59</v>
      </c>
      <c r="E239" s="14">
        <f t="shared" ref="E239:E243" si="8">D227/D218</f>
        <v>23943.588235294119</v>
      </c>
    </row>
    <row r="240" spans="1:5" ht="16.5" x14ac:dyDescent="0.25">
      <c r="A240" s="4">
        <v>2</v>
      </c>
      <c r="B240" s="4" t="s">
        <v>6</v>
      </c>
      <c r="C240" s="4">
        <v>20434.89</v>
      </c>
      <c r="E240" s="14">
        <f t="shared" si="8"/>
        <v>20434.894736842107</v>
      </c>
    </row>
    <row r="241" spans="1:5" ht="16.5" x14ac:dyDescent="0.25">
      <c r="A241" s="4">
        <v>3</v>
      </c>
      <c r="B241" s="4" t="s">
        <v>7</v>
      </c>
      <c r="C241" s="4">
        <v>22865.82</v>
      </c>
      <c r="E241" s="14">
        <f t="shared" si="8"/>
        <v>22865.81818181818</v>
      </c>
    </row>
    <row r="242" spans="1:5" ht="16.5" x14ac:dyDescent="0.25">
      <c r="A242" s="4">
        <v>4</v>
      </c>
      <c r="B242" s="4" t="s">
        <v>8</v>
      </c>
      <c r="C242" s="4">
        <v>33048.94</v>
      </c>
      <c r="E242" s="14">
        <f t="shared" si="8"/>
        <v>33048.941176470587</v>
      </c>
    </row>
    <row r="243" spans="1:5" ht="16.5" x14ac:dyDescent="0.25">
      <c r="A243" s="4">
        <v>5</v>
      </c>
      <c r="B243" s="4" t="s">
        <v>9</v>
      </c>
      <c r="C243" s="4">
        <v>28495.39</v>
      </c>
      <c r="E243" s="14">
        <f t="shared" si="8"/>
        <v>28495.388888888891</v>
      </c>
    </row>
    <row r="247" spans="1:5" x14ac:dyDescent="0.25">
      <c r="A247" s="1" t="s">
        <v>111</v>
      </c>
    </row>
    <row r="249" spans="1:5" ht="33" x14ac:dyDescent="0.25">
      <c r="A249" s="2"/>
      <c r="B249" s="2" t="s">
        <v>112</v>
      </c>
    </row>
    <row r="250" spans="1:5" ht="16.5" x14ac:dyDescent="0.25">
      <c r="A250" s="4">
        <v>0</v>
      </c>
      <c r="B250" s="4">
        <v>120</v>
      </c>
    </row>
    <row r="254" spans="1:5" x14ac:dyDescent="0.25">
      <c r="A254" s="1" t="s">
        <v>113</v>
      </c>
    </row>
    <row r="257" spans="1:7" ht="33" x14ac:dyDescent="0.25">
      <c r="A257" s="2"/>
      <c r="B257" s="2" t="s">
        <v>114</v>
      </c>
      <c r="C257" s="2" t="s">
        <v>115</v>
      </c>
      <c r="D257" s="2" t="s">
        <v>17</v>
      </c>
    </row>
    <row r="258" spans="1:7" ht="16.5" x14ac:dyDescent="0.25">
      <c r="A258" s="4">
        <v>0</v>
      </c>
      <c r="B258" s="4">
        <v>1</v>
      </c>
      <c r="C258" s="4" t="s">
        <v>116</v>
      </c>
      <c r="D258" s="4">
        <v>498</v>
      </c>
    </row>
    <row r="259" spans="1:7" ht="16.5" x14ac:dyDescent="0.25">
      <c r="A259" s="4">
        <v>1</v>
      </c>
      <c r="B259" s="4">
        <v>2</v>
      </c>
      <c r="C259" s="4" t="s">
        <v>117</v>
      </c>
      <c r="D259" s="4">
        <v>518</v>
      </c>
    </row>
    <row r="260" spans="1:7" x14ac:dyDescent="0.25">
      <c r="D260">
        <f>SUM(D258:D259)</f>
        <v>1016</v>
      </c>
    </row>
    <row r="262" spans="1:7" ht="33" x14ac:dyDescent="0.25">
      <c r="A262" s="2"/>
      <c r="B262" s="2" t="s">
        <v>114</v>
      </c>
      <c r="C262" s="2" t="s">
        <v>115</v>
      </c>
      <c r="D262" s="2" t="s">
        <v>17</v>
      </c>
      <c r="E262" s="2" t="s">
        <v>37</v>
      </c>
      <c r="G262" s="2" t="s">
        <v>37</v>
      </c>
    </row>
    <row r="263" spans="1:7" ht="16.5" x14ac:dyDescent="0.25">
      <c r="A263" s="4">
        <v>0</v>
      </c>
      <c r="B263" s="4">
        <v>1</v>
      </c>
      <c r="C263" s="4" t="s">
        <v>116</v>
      </c>
      <c r="D263" s="4">
        <v>498</v>
      </c>
      <c r="E263" s="4">
        <v>49</v>
      </c>
      <c r="G263" s="5">
        <f>D263/$D$260</f>
        <v>0.49015748031496065</v>
      </c>
    </row>
    <row r="264" spans="1:7" ht="16.5" x14ac:dyDescent="0.25">
      <c r="A264" s="4">
        <v>1</v>
      </c>
      <c r="B264" s="4">
        <v>2</v>
      </c>
      <c r="C264" s="4" t="s">
        <v>117</v>
      </c>
      <c r="D264" s="4">
        <v>518</v>
      </c>
      <c r="E264" s="4">
        <v>51</v>
      </c>
      <c r="G264" s="5">
        <f>D264/$D$260</f>
        <v>0.50984251968503935</v>
      </c>
    </row>
    <row r="268" spans="1:7" x14ac:dyDescent="0.25">
      <c r="A268" s="1" t="s">
        <v>118</v>
      </c>
    </row>
    <row r="270" spans="1:7" ht="33" x14ac:dyDescent="0.25">
      <c r="A270" s="2"/>
      <c r="B270" s="2" t="s">
        <v>114</v>
      </c>
      <c r="C270" s="2" t="s">
        <v>115</v>
      </c>
      <c r="D270" s="2" t="s">
        <v>3</v>
      </c>
    </row>
    <row r="271" spans="1:7" ht="16.5" x14ac:dyDescent="0.25">
      <c r="A271" s="4">
        <v>0</v>
      </c>
      <c r="B271" s="4">
        <v>1</v>
      </c>
      <c r="C271" s="4" t="s">
        <v>116</v>
      </c>
      <c r="D271" s="4">
        <v>1215136</v>
      </c>
    </row>
    <row r="272" spans="1:7" ht="16.5" x14ac:dyDescent="0.25">
      <c r="A272" s="4">
        <v>1</v>
      </c>
      <c r="B272" s="4">
        <v>2</v>
      </c>
      <c r="C272" s="4" t="s">
        <v>117</v>
      </c>
      <c r="D272" s="4">
        <v>1436281</v>
      </c>
    </row>
    <row r="274" spans="1:7" x14ac:dyDescent="0.25">
      <c r="D274">
        <f>SUM(D271:D272)</f>
        <v>2651417</v>
      </c>
    </row>
    <row r="277" spans="1:7" ht="33" x14ac:dyDescent="0.25">
      <c r="A277" s="2"/>
      <c r="B277" s="2" t="s">
        <v>114</v>
      </c>
      <c r="C277" s="2" t="s">
        <v>115</v>
      </c>
      <c r="D277" s="2" t="s">
        <v>3</v>
      </c>
      <c r="E277" s="2" t="s">
        <v>37</v>
      </c>
      <c r="G277" s="2" t="s">
        <v>37</v>
      </c>
    </row>
    <row r="278" spans="1:7" ht="16.5" x14ac:dyDescent="0.25">
      <c r="A278" s="4">
        <v>0</v>
      </c>
      <c r="B278" s="4">
        <v>1</v>
      </c>
      <c r="C278" s="4" t="s">
        <v>116</v>
      </c>
      <c r="D278" s="4">
        <v>1215136</v>
      </c>
      <c r="E278" s="4">
        <v>46</v>
      </c>
      <c r="G278" s="5">
        <f>D278/$D$274</f>
        <v>0.45829682769628466</v>
      </c>
    </row>
    <row r="279" spans="1:7" ht="16.5" x14ac:dyDescent="0.25">
      <c r="A279" s="4">
        <v>1</v>
      </c>
      <c r="B279" s="4">
        <v>2</v>
      </c>
      <c r="C279" s="4" t="s">
        <v>117</v>
      </c>
      <c r="D279" s="4">
        <v>1436281</v>
      </c>
      <c r="E279" s="4">
        <v>54</v>
      </c>
      <c r="G279" s="5">
        <f>D279/$D$274</f>
        <v>0.54170317230371534</v>
      </c>
    </row>
    <row r="284" spans="1:7" x14ac:dyDescent="0.25">
      <c r="A284" s="1" t="s">
        <v>119</v>
      </c>
    </row>
    <row r="286" spans="1:7" ht="33" x14ac:dyDescent="0.25">
      <c r="A286" s="2"/>
      <c r="B286" s="2" t="s">
        <v>120</v>
      </c>
      <c r="C286" s="2" t="s">
        <v>121</v>
      </c>
      <c r="D286" s="2" t="s">
        <v>17</v>
      </c>
    </row>
    <row r="287" spans="1:7" ht="16.5" x14ac:dyDescent="0.25">
      <c r="A287" s="4">
        <v>0</v>
      </c>
      <c r="B287" s="4">
        <v>43</v>
      </c>
      <c r="C287" s="4" t="s">
        <v>122</v>
      </c>
      <c r="D287" s="4">
        <v>27</v>
      </c>
    </row>
    <row r="288" spans="1:7" ht="16.5" x14ac:dyDescent="0.25">
      <c r="A288" s="4">
        <v>1</v>
      </c>
      <c r="B288" s="4">
        <v>18</v>
      </c>
      <c r="C288" s="4" t="s">
        <v>123</v>
      </c>
      <c r="D288" s="4">
        <v>26</v>
      </c>
    </row>
    <row r="289" spans="1:4" ht="33" x14ac:dyDescent="0.25">
      <c r="A289" s="4">
        <v>2</v>
      </c>
      <c r="B289" s="4">
        <v>79</v>
      </c>
      <c r="C289" s="4" t="s">
        <v>124</v>
      </c>
      <c r="D289" s="4">
        <v>24</v>
      </c>
    </row>
    <row r="290" spans="1:4" ht="16.5" x14ac:dyDescent="0.25">
      <c r="A290" s="4">
        <v>3</v>
      </c>
      <c r="B290" s="4">
        <v>81</v>
      </c>
      <c r="C290" s="4" t="s">
        <v>125</v>
      </c>
      <c r="D290" s="4">
        <v>22</v>
      </c>
    </row>
    <row r="291" spans="1:4" ht="16.5" x14ac:dyDescent="0.25">
      <c r="A291" s="4">
        <v>4</v>
      </c>
      <c r="B291" s="4">
        <v>68</v>
      </c>
      <c r="C291" s="4" t="s">
        <v>126</v>
      </c>
      <c r="D291" s="4">
        <v>22</v>
      </c>
    </row>
    <row r="292" spans="1:4" ht="16.5" x14ac:dyDescent="0.25">
      <c r="A292" s="4">
        <v>5</v>
      </c>
      <c r="B292" s="4">
        <v>72</v>
      </c>
      <c r="C292" s="4" t="s">
        <v>127</v>
      </c>
      <c r="D292" s="4">
        <v>21</v>
      </c>
    </row>
    <row r="293" spans="1:4" ht="33" x14ac:dyDescent="0.25">
      <c r="A293" s="4">
        <v>6</v>
      </c>
      <c r="B293" s="4">
        <v>38</v>
      </c>
      <c r="C293" s="4" t="s">
        <v>128</v>
      </c>
      <c r="D293" s="4">
        <v>21</v>
      </c>
    </row>
    <row r="294" spans="1:4" ht="16.5" x14ac:dyDescent="0.25">
      <c r="A294" s="4">
        <v>7</v>
      </c>
      <c r="B294" s="4">
        <v>53</v>
      </c>
      <c r="C294" s="4" t="s">
        <v>129</v>
      </c>
      <c r="D294" s="4">
        <v>21</v>
      </c>
    </row>
    <row r="295" spans="1:4" ht="33" x14ac:dyDescent="0.25">
      <c r="A295" s="4">
        <v>8</v>
      </c>
      <c r="B295" s="4">
        <v>76</v>
      </c>
      <c r="C295" s="4" t="s">
        <v>130</v>
      </c>
      <c r="D295" s="4">
        <v>20</v>
      </c>
    </row>
    <row r="296" spans="1:4" ht="16.5" x14ac:dyDescent="0.25">
      <c r="A296" s="4">
        <v>9</v>
      </c>
      <c r="B296" s="4">
        <v>9</v>
      </c>
      <c r="C296" s="4" t="s">
        <v>131</v>
      </c>
      <c r="D296" s="4">
        <v>20</v>
      </c>
    </row>
    <row r="300" spans="1:4" x14ac:dyDescent="0.25">
      <c r="A300" s="1" t="s">
        <v>132</v>
      </c>
    </row>
    <row r="302" spans="1:4" ht="21" customHeight="1" x14ac:dyDescent="0.25">
      <c r="A302" s="21"/>
      <c r="B302" s="21" t="s">
        <v>120</v>
      </c>
      <c r="C302" s="21" t="s">
        <v>121</v>
      </c>
      <c r="D302" s="21" t="s">
        <v>3</v>
      </c>
    </row>
    <row r="303" spans="1:4" ht="16.5" x14ac:dyDescent="0.25">
      <c r="A303" s="22">
        <v>0</v>
      </c>
      <c r="B303" s="22">
        <v>91</v>
      </c>
      <c r="C303" s="22" t="s">
        <v>133</v>
      </c>
      <c r="D303" s="22">
        <v>93800</v>
      </c>
    </row>
    <row r="304" spans="1:4" ht="16.5" x14ac:dyDescent="0.25">
      <c r="A304" s="22">
        <v>1</v>
      </c>
      <c r="B304" s="22">
        <v>18</v>
      </c>
      <c r="C304" s="22" t="s">
        <v>123</v>
      </c>
      <c r="D304" s="22">
        <v>89544</v>
      </c>
    </row>
    <row r="305" spans="1:4" ht="33" x14ac:dyDescent="0.25">
      <c r="A305" s="22">
        <v>2</v>
      </c>
      <c r="B305" s="22">
        <v>76</v>
      </c>
      <c r="C305" s="22" t="s">
        <v>130</v>
      </c>
      <c r="D305" s="22">
        <v>85720</v>
      </c>
    </row>
    <row r="306" spans="1:4" ht="16.5" x14ac:dyDescent="0.25">
      <c r="A306" s="22">
        <v>3</v>
      </c>
      <c r="B306" s="22">
        <v>72</v>
      </c>
      <c r="C306" s="22" t="s">
        <v>127</v>
      </c>
      <c r="D306" s="22">
        <v>81396</v>
      </c>
    </row>
    <row r="307" spans="1:4" ht="16.5" x14ac:dyDescent="0.25">
      <c r="A307" s="22">
        <v>4</v>
      </c>
      <c r="B307" s="22">
        <v>9</v>
      </c>
      <c r="C307" s="22" t="s">
        <v>131</v>
      </c>
      <c r="D307" s="22">
        <v>77560</v>
      </c>
    </row>
    <row r="308" spans="1:4" ht="16.5" x14ac:dyDescent="0.25">
      <c r="A308" s="22">
        <v>5</v>
      </c>
      <c r="B308" s="22">
        <v>8</v>
      </c>
      <c r="C308" s="22" t="s">
        <v>134</v>
      </c>
      <c r="D308" s="22">
        <v>71706</v>
      </c>
    </row>
    <row r="309" spans="1:4" ht="16.5" x14ac:dyDescent="0.25">
      <c r="A309" s="22">
        <v>6</v>
      </c>
      <c r="B309" s="22">
        <v>59</v>
      </c>
      <c r="C309" s="22" t="s">
        <v>135</v>
      </c>
      <c r="D309" s="22">
        <v>68628</v>
      </c>
    </row>
    <row r="310" spans="1:4" ht="16.5" x14ac:dyDescent="0.25">
      <c r="A310" s="22">
        <v>7</v>
      </c>
      <c r="B310" s="22">
        <v>58</v>
      </c>
      <c r="C310" s="22" t="s">
        <v>136</v>
      </c>
      <c r="D310" s="22">
        <v>66528</v>
      </c>
    </row>
    <row r="311" spans="1:4" ht="16.5" x14ac:dyDescent="0.25">
      <c r="A311" s="22">
        <v>8</v>
      </c>
      <c r="B311" s="22">
        <v>68</v>
      </c>
      <c r="C311" s="22" t="s">
        <v>126</v>
      </c>
      <c r="D311" s="22">
        <v>59048</v>
      </c>
    </row>
    <row r="312" spans="1:4" ht="33" x14ac:dyDescent="0.25">
      <c r="A312" s="22">
        <v>9</v>
      </c>
      <c r="B312" s="22">
        <v>79</v>
      </c>
      <c r="C312" s="22" t="s">
        <v>124</v>
      </c>
      <c r="D312" s="22">
        <v>58080</v>
      </c>
    </row>
  </sheetData>
  <mergeCells count="2">
    <mergeCell ref="M12:N12"/>
    <mergeCell ref="M11:O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2026-01-20T07:03:56Z</dcterms:modified>
</cp:coreProperties>
</file>